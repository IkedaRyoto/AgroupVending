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\\Tky-fsv-01\02-project\GCSC早期配属施策\new-kensyu\新卒\2022年度新卒\22年度新卒作業フォルダ\MT\29_IT05\21_技術研修\07_システム開発実習1\IT05_Aグループ\"/>
    </mc:Choice>
  </mc:AlternateContent>
  <xr:revisionPtr revIDLastSave="8" documentId="11_15F767AE182AD4E28F756AEBAEC0C6CB1CDC4E25" xr6:coauthVersionLast="47" xr6:coauthVersionMax="47" xr10:uidLastSave="{883ACFF7-4F02-4D9C-BA46-16853E227B0D}"/>
  <bookViews>
    <workbookView xWindow="0" yWindow="0" windowWidth="20490" windowHeight="7530" firstSheet="3" activeTab="2" xr2:uid="{00000000-000D-0000-FFFF-FFFF00000000}"/>
  </bookViews>
  <sheets>
    <sheet name="表紙" sheetId="4" r:id="rId1"/>
    <sheet name="更新履歴" sheetId="5" r:id="rId2"/>
    <sheet name="自動販売機テスト仕様書" sheetId="1" r:id="rId3"/>
    <sheet name="データベーステスト仕様書" sheetId="3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" i="3" l="1"/>
  <c r="D8" i="3" s="1"/>
  <c r="C7" i="3"/>
  <c r="D7" i="3" s="1"/>
  <c r="C6" i="3"/>
  <c r="D6" i="3" s="1"/>
  <c r="C5" i="3"/>
  <c r="C5" i="1"/>
  <c r="C8" i="1" l="1"/>
  <c r="D8" i="1" s="1"/>
  <c r="C7" i="1"/>
  <c r="D7" i="1" s="1"/>
  <c r="C6" i="1"/>
  <c r="D6" i="1" s="1"/>
  <c r="G13" i="3" l="1"/>
  <c r="G14" i="3"/>
  <c r="G15" i="3"/>
  <c r="G16" i="3"/>
  <c r="G17" i="3"/>
  <c r="G18" i="3"/>
  <c r="G19" i="3"/>
  <c r="G20" i="3"/>
  <c r="G12" i="3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4" i="1"/>
  <c r="G45" i="1"/>
  <c r="G46" i="1"/>
  <c r="G47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4" i="1"/>
  <c r="G65" i="1"/>
  <c r="G11" i="1"/>
</calcChain>
</file>

<file path=xl/sharedStrings.xml><?xml version="1.0" encoding="utf-8"?>
<sst xmlns="http://schemas.openxmlformats.org/spreadsheetml/2006/main" count="202" uniqueCount="147">
  <si>
    <t>自動販売機シミュレータ</t>
    <rPh sb="0" eb="2">
      <t>ジドウ</t>
    </rPh>
    <rPh sb="2" eb="5">
      <t>ハンバイキ</t>
    </rPh>
    <phoneticPr fontId="2"/>
  </si>
  <si>
    <t>開発プロジェクト</t>
    <rPh sb="0" eb="2">
      <t>カイハツ</t>
    </rPh>
    <phoneticPr fontId="2"/>
  </si>
  <si>
    <t>テスト仕様書</t>
    <rPh sb="3" eb="6">
      <t>シヨウショ</t>
    </rPh>
    <phoneticPr fontId="2"/>
  </si>
  <si>
    <t>株式会社メイテック IT05Aグループ</t>
    <rPh sb="0" eb="4">
      <t>カブシキガイシャ</t>
    </rPh>
    <phoneticPr fontId="2"/>
  </si>
  <si>
    <t>池田、臼井、小野寺、小林</t>
    <rPh sb="0" eb="2">
      <t>イケダ</t>
    </rPh>
    <rPh sb="3" eb="5">
      <t>ウスイ</t>
    </rPh>
    <rPh sb="6" eb="9">
      <t>オノデラ</t>
    </rPh>
    <rPh sb="10" eb="12">
      <t>コバヤシ</t>
    </rPh>
    <phoneticPr fontId="2"/>
  </si>
  <si>
    <t>タイトル</t>
    <phoneticPr fontId="2"/>
  </si>
  <si>
    <t>更新履歴</t>
    <rPh sb="0" eb="2">
      <t>コウシン</t>
    </rPh>
    <rPh sb="2" eb="4">
      <t>リレキ</t>
    </rPh>
    <phoneticPr fontId="2"/>
  </si>
  <si>
    <t>バージョン</t>
    <phoneticPr fontId="2"/>
  </si>
  <si>
    <t>更新日付</t>
    <rPh sb="0" eb="2">
      <t>コウシン</t>
    </rPh>
    <rPh sb="2" eb="4">
      <t>ヒヅケ</t>
    </rPh>
    <phoneticPr fontId="2"/>
  </si>
  <si>
    <t>更新者</t>
    <rPh sb="0" eb="3">
      <t>コウシンシャ</t>
    </rPh>
    <phoneticPr fontId="2"/>
  </si>
  <si>
    <t>内容</t>
    <rPh sb="0" eb="2">
      <t>ナイヨウ</t>
    </rPh>
    <phoneticPr fontId="2"/>
  </si>
  <si>
    <t>1.0</t>
    <phoneticPr fontId="2"/>
  </si>
  <si>
    <t>小林</t>
    <rPh sb="0" eb="2">
      <t>コバヤシ</t>
    </rPh>
    <phoneticPr fontId="2"/>
  </si>
  <si>
    <t>新規作成</t>
    <rPh sb="0" eb="2">
      <t>シンキ</t>
    </rPh>
    <rPh sb="2" eb="4">
      <t>サクセイ</t>
    </rPh>
    <phoneticPr fontId="2"/>
  </si>
  <si>
    <t>テスト項目の追加</t>
    <rPh sb="3" eb="5">
      <t>コウモク</t>
    </rPh>
    <rPh sb="6" eb="8">
      <t>ツイカ</t>
    </rPh>
    <phoneticPr fontId="2"/>
  </si>
  <si>
    <t>自動販売機シミュレータテスト</t>
    <rPh sb="0" eb="2">
      <t>ジドウ</t>
    </rPh>
    <rPh sb="2" eb="5">
      <t>ハンバイキ</t>
    </rPh>
    <phoneticPr fontId="2"/>
  </si>
  <si>
    <t>テスト実施日</t>
    <rPh sb="3" eb="5">
      <t>ジッシ</t>
    </rPh>
    <rPh sb="5" eb="6">
      <t>ビ</t>
    </rPh>
    <phoneticPr fontId="2"/>
  </si>
  <si>
    <t>テスト実施者</t>
    <rPh sb="3" eb="6">
      <t>ジッシシャ</t>
    </rPh>
    <phoneticPr fontId="2"/>
  </si>
  <si>
    <t>結果集計</t>
    <rPh sb="0" eb="2">
      <t>ケッカ</t>
    </rPh>
    <rPh sb="2" eb="4">
      <t>シュウケイ</t>
    </rPh>
    <phoneticPr fontId="2"/>
  </si>
  <si>
    <t>件数</t>
    <rPh sb="0" eb="2">
      <t>ケンスウ</t>
    </rPh>
    <phoneticPr fontId="2"/>
  </si>
  <si>
    <t>割合(%)</t>
    <rPh sb="0" eb="2">
      <t>ワリアイ</t>
    </rPh>
    <phoneticPr fontId="2"/>
  </si>
  <si>
    <t>総数</t>
    <rPh sb="0" eb="2">
      <t>ソウスウ</t>
    </rPh>
    <phoneticPr fontId="2"/>
  </si>
  <si>
    <t>OK</t>
    <phoneticPr fontId="2"/>
  </si>
  <si>
    <t>NG</t>
    <phoneticPr fontId="2"/>
  </si>
  <si>
    <t>attention</t>
    <phoneticPr fontId="2"/>
  </si>
  <si>
    <t>No</t>
    <phoneticPr fontId="2"/>
  </si>
  <si>
    <t>結果</t>
    <rPh sb="0" eb="2">
      <t>ケッカ</t>
    </rPh>
    <phoneticPr fontId="2"/>
  </si>
  <si>
    <t>テスト内容</t>
    <rPh sb="3" eb="5">
      <t>ナイヨウ</t>
    </rPh>
    <phoneticPr fontId="2"/>
  </si>
  <si>
    <t>テスト手順</t>
    <rPh sb="3" eb="5">
      <t>テジュン</t>
    </rPh>
    <phoneticPr fontId="2"/>
  </si>
  <si>
    <t>予測される結果</t>
    <rPh sb="0" eb="2">
      <t>ヨソク</t>
    </rPh>
    <rPh sb="5" eb="7">
      <t>ケッカ</t>
    </rPh>
    <phoneticPr fontId="2"/>
  </si>
  <si>
    <t>備考(ドロップボックスまたは任意入力)</t>
    <rPh sb="0" eb="2">
      <t>ビコウ</t>
    </rPh>
    <rPh sb="14" eb="16">
      <t>ニンイ</t>
    </rPh>
    <rPh sb="16" eb="18">
      <t>ニュウリョク</t>
    </rPh>
    <phoneticPr fontId="2"/>
  </si>
  <si>
    <t>✓</t>
    <phoneticPr fontId="2"/>
  </si>
  <si>
    <t>シミュレーターを起動</t>
    <rPh sb="8" eb="10">
      <t>キドウ</t>
    </rPh>
    <phoneticPr fontId="2"/>
  </si>
  <si>
    <t>シミュレーターを起動する</t>
    <rPh sb="8" eb="10">
      <t>キドウ</t>
    </rPh>
    <phoneticPr fontId="2"/>
  </si>
  <si>
    <t>シミュレーターのコンソールが表示される</t>
    <rPh sb="14" eb="16">
      <t>ヒョウジ</t>
    </rPh>
    <phoneticPr fontId="2"/>
  </si>
  <si>
    <t>おつり切れの確認・表示</t>
    <rPh sb="3" eb="4">
      <t>ギ</t>
    </rPh>
    <rPh sb="6" eb="8">
      <t>カクニン</t>
    </rPh>
    <rPh sb="9" eb="11">
      <t>ヒョウジ</t>
    </rPh>
    <phoneticPr fontId="2"/>
  </si>
  <si>
    <t>データベース内のおつりが切れているシミュレーターを起動する</t>
    <rPh sb="6" eb="7">
      <t>ナイ</t>
    </rPh>
    <rPh sb="12" eb="13">
      <t>キ</t>
    </rPh>
    <rPh sb="25" eb="27">
      <t>キドウ</t>
    </rPh>
    <phoneticPr fontId="2"/>
  </si>
  <si>
    <t>おつり切れの旨が表示される</t>
    <rPh sb="3" eb="4">
      <t>ギ</t>
    </rPh>
    <rPh sb="6" eb="7">
      <t>ムネ</t>
    </rPh>
    <rPh sb="8" eb="10">
      <t>ヒョウジ</t>
    </rPh>
    <phoneticPr fontId="2"/>
  </si>
  <si>
    <t>金額の入力待機状態</t>
    <rPh sb="0" eb="2">
      <t>キンガク</t>
    </rPh>
    <rPh sb="3" eb="5">
      <t>ニュウリョク</t>
    </rPh>
    <rPh sb="5" eb="7">
      <t>タイキ</t>
    </rPh>
    <rPh sb="7" eb="9">
      <t>ジョウタイ</t>
    </rPh>
    <phoneticPr fontId="2"/>
  </si>
  <si>
    <t>金額を入力してくださいと表示がされる
コンソールに文字の入力が可能になる</t>
    <rPh sb="0" eb="2">
      <t>キンガク</t>
    </rPh>
    <rPh sb="3" eb="5">
      <t>ニュウリョク</t>
    </rPh>
    <rPh sb="12" eb="14">
      <t>ヒョウジ</t>
    </rPh>
    <rPh sb="25" eb="27">
      <t>モジ</t>
    </rPh>
    <rPh sb="28" eb="30">
      <t>ニュウリョク</t>
    </rPh>
    <rPh sb="31" eb="33">
      <t>カノウ</t>
    </rPh>
    <phoneticPr fontId="2"/>
  </si>
  <si>
    <t>投入金額の判別</t>
    <rPh sb="0" eb="2">
      <t>トウニュウ</t>
    </rPh>
    <rPh sb="2" eb="4">
      <t>キンガク</t>
    </rPh>
    <rPh sb="5" eb="7">
      <t>ハンベツ</t>
    </rPh>
    <phoneticPr fontId="2"/>
  </si>
  <si>
    <t>"1"と入力する</t>
    <rPh sb="4" eb="6">
      <t>ニュウリョク</t>
    </rPh>
    <phoneticPr fontId="2"/>
  </si>
  <si>
    <t>"使用可能な硬貨・紙幣を使用してください"と表示される
再入力が可能になる</t>
    <rPh sb="1" eb="3">
      <t>シヨウ</t>
    </rPh>
    <rPh sb="3" eb="5">
      <t>カノウ</t>
    </rPh>
    <rPh sb="6" eb="8">
      <t>コウカ</t>
    </rPh>
    <rPh sb="9" eb="11">
      <t>シヘイ</t>
    </rPh>
    <rPh sb="12" eb="14">
      <t>シヨウ</t>
    </rPh>
    <rPh sb="22" eb="24">
      <t>ヒョウジ</t>
    </rPh>
    <rPh sb="28" eb="31">
      <t>サイニュウリョク</t>
    </rPh>
    <rPh sb="32" eb="34">
      <t>カノウ</t>
    </rPh>
    <phoneticPr fontId="2"/>
  </si>
  <si>
    <t>"10"と入力する</t>
    <rPh sb="5" eb="7">
      <t>ニュウリョク</t>
    </rPh>
    <phoneticPr fontId="2"/>
  </si>
  <si>
    <t>"10円"が投入されました"と表示される</t>
    <rPh sb="3" eb="4">
      <t>エン</t>
    </rPh>
    <rPh sb="6" eb="8">
      <t>トウニュウ</t>
    </rPh>
    <rPh sb="15" eb="17">
      <t>ヒョウジ</t>
    </rPh>
    <phoneticPr fontId="2"/>
  </si>
  <si>
    <t>"50"と入力する</t>
    <rPh sb="5" eb="7">
      <t>ニュウリョク</t>
    </rPh>
    <phoneticPr fontId="2"/>
  </si>
  <si>
    <t>"50円"が投入されました"と表示される</t>
    <rPh sb="3" eb="4">
      <t>エン</t>
    </rPh>
    <rPh sb="6" eb="8">
      <t>トウニュウ</t>
    </rPh>
    <rPh sb="15" eb="17">
      <t>ヒョウジ</t>
    </rPh>
    <phoneticPr fontId="2"/>
  </si>
  <si>
    <t>"100"と入力する</t>
    <rPh sb="6" eb="8">
      <t>ニュウリョク</t>
    </rPh>
    <phoneticPr fontId="2"/>
  </si>
  <si>
    <t>"100円"が投入されました"と表示される</t>
    <rPh sb="4" eb="5">
      <t>エン</t>
    </rPh>
    <rPh sb="7" eb="9">
      <t>トウニュウ</t>
    </rPh>
    <rPh sb="16" eb="18">
      <t>ヒョウジ</t>
    </rPh>
    <phoneticPr fontId="2"/>
  </si>
  <si>
    <t>"500"と入力する</t>
    <rPh sb="6" eb="8">
      <t>ニュウリョク</t>
    </rPh>
    <phoneticPr fontId="2"/>
  </si>
  <si>
    <t>"500円"が投入されました"と表示される</t>
    <rPh sb="4" eb="5">
      <t>エン</t>
    </rPh>
    <rPh sb="7" eb="9">
      <t>トウニュウ</t>
    </rPh>
    <rPh sb="16" eb="18">
      <t>ヒョウジ</t>
    </rPh>
    <phoneticPr fontId="2"/>
  </si>
  <si>
    <t>"1000"と入力する</t>
    <rPh sb="7" eb="9">
      <t>ニュウリョク</t>
    </rPh>
    <phoneticPr fontId="2"/>
  </si>
  <si>
    <t>"1000円"が投入されました"と表示される</t>
    <rPh sb="5" eb="6">
      <t>エン</t>
    </rPh>
    <rPh sb="8" eb="10">
      <t>トウニュウ</t>
    </rPh>
    <rPh sb="17" eb="19">
      <t>ヒョウジ</t>
    </rPh>
    <phoneticPr fontId="2"/>
  </si>
  <si>
    <t>"2000"と入力する</t>
    <rPh sb="7" eb="9">
      <t>ニュウリョク</t>
    </rPh>
    <phoneticPr fontId="2"/>
  </si>
  <si>
    <t>"1990円以上は利用できません"と表示される
再入力が可能になる</t>
    <rPh sb="5" eb="8">
      <t>エンイジョウ</t>
    </rPh>
    <rPh sb="9" eb="11">
      <t>リヨウ</t>
    </rPh>
    <rPh sb="18" eb="20">
      <t>ヒョウジ</t>
    </rPh>
    <rPh sb="24" eb="27">
      <t>サイニュウリョク</t>
    </rPh>
    <rPh sb="28" eb="30">
      <t>カノウ</t>
    </rPh>
    <phoneticPr fontId="2"/>
  </si>
  <si>
    <t>"1000"と入力する
"1000"と入力する</t>
    <rPh sb="7" eb="9">
      <t>ニュウリョク</t>
    </rPh>
    <rPh sb="19" eb="21">
      <t>ニュウリョク</t>
    </rPh>
    <phoneticPr fontId="2"/>
  </si>
  <si>
    <t>"1000円"が投入されました"と表示される
"金額上限を超えました"と表示される
投入金額が全額返金される</t>
    <rPh sb="24" eb="26">
      <t>キンガク</t>
    </rPh>
    <rPh sb="26" eb="28">
      <t>ジョウゲン</t>
    </rPh>
    <rPh sb="29" eb="30">
      <t>コ</t>
    </rPh>
    <rPh sb="36" eb="38">
      <t>ヒョウジ</t>
    </rPh>
    <rPh sb="42" eb="44">
      <t>トウニュウ</t>
    </rPh>
    <rPh sb="44" eb="46">
      <t>キンガク</t>
    </rPh>
    <rPh sb="47" eb="49">
      <t>ゼンガク</t>
    </rPh>
    <rPh sb="49" eb="51">
      <t>ヘンキン</t>
    </rPh>
    <phoneticPr fontId="2"/>
  </si>
  <si>
    <t>"10.1"と入力する</t>
    <rPh sb="7" eb="9">
      <t>ニュウリョク</t>
    </rPh>
    <phoneticPr fontId="2"/>
  </si>
  <si>
    <t>"使用可能な硬貨・紙幣を使用してください"と表示される
再入力が可能になる</t>
    <rPh sb="22" eb="24">
      <t>ヒョウジ</t>
    </rPh>
    <rPh sb="28" eb="31">
      <t>サイニュウリョク</t>
    </rPh>
    <rPh sb="32" eb="34">
      <t>カノウ</t>
    </rPh>
    <phoneticPr fontId="2"/>
  </si>
  <si>
    <t>"0.1"と入力する</t>
    <rPh sb="6" eb="8">
      <t>ニュウリョク</t>
    </rPh>
    <phoneticPr fontId="2"/>
  </si>
  <si>
    <t>"-0.1"と入力する</t>
    <rPh sb="7" eb="9">
      <t>ニュウリョク</t>
    </rPh>
    <phoneticPr fontId="2"/>
  </si>
  <si>
    <t>"-10"と入力する</t>
    <rPh sb="6" eb="8">
      <t>ニュウリョク</t>
    </rPh>
    <phoneticPr fontId="2"/>
  </si>
  <si>
    <t>"１０"(全角)と入力する</t>
    <rPh sb="5" eb="7">
      <t>ゼンカク</t>
    </rPh>
    <rPh sb="9" eb="11">
      <t>ニュウリョク</t>
    </rPh>
    <phoneticPr fontId="2"/>
  </si>
  <si>
    <t>""(空入力)と入力する</t>
    <rPh sb="3" eb="4">
      <t>カラ</t>
    </rPh>
    <rPh sb="4" eb="6">
      <t>ニュウリョク</t>
    </rPh>
    <rPh sb="8" eb="10">
      <t>ニュウリョク</t>
    </rPh>
    <phoneticPr fontId="2"/>
  </si>
  <si>
    <t>"?"と入力する</t>
    <rPh sb="4" eb="6">
      <t>ニュウリョク</t>
    </rPh>
    <phoneticPr fontId="2"/>
  </si>
  <si>
    <t>"a"と入力する</t>
    <rPh sb="4" eb="6">
      <t>ニュウリョク</t>
    </rPh>
    <phoneticPr fontId="2"/>
  </si>
  <si>
    <t>管理者モードに移行</t>
    <rPh sb="0" eb="3">
      <t>カンリシャ</t>
    </rPh>
    <rPh sb="7" eb="9">
      <t>イコウ</t>
    </rPh>
    <phoneticPr fontId="2"/>
  </si>
  <si>
    <t>"-1"と入力する</t>
    <rPh sb="5" eb="7">
      <t>ニュウリョク</t>
    </rPh>
    <phoneticPr fontId="2"/>
  </si>
  <si>
    <t>管理者モードになる
各商品の売上金額と売り上げ本数、自動販売機の総売上金額が表示される</t>
    <rPh sb="0" eb="3">
      <t>カンリシャ</t>
    </rPh>
    <rPh sb="10" eb="11">
      <t>カク</t>
    </rPh>
    <rPh sb="11" eb="13">
      <t>ショウヒン</t>
    </rPh>
    <rPh sb="14" eb="16">
      <t>ウリアゲ</t>
    </rPh>
    <rPh sb="16" eb="18">
      <t>キンガク</t>
    </rPh>
    <rPh sb="19" eb="20">
      <t>ウ</t>
    </rPh>
    <rPh sb="21" eb="22">
      <t>ア</t>
    </rPh>
    <rPh sb="23" eb="25">
      <t>ホンスウ</t>
    </rPh>
    <rPh sb="26" eb="28">
      <t>ジドウ</t>
    </rPh>
    <rPh sb="28" eb="31">
      <t>ハンバイキ</t>
    </rPh>
    <rPh sb="32" eb="33">
      <t>ソウ</t>
    </rPh>
    <rPh sb="33" eb="35">
      <t>ウリアゲ</t>
    </rPh>
    <rPh sb="35" eb="37">
      <t>キンガク</t>
    </rPh>
    <rPh sb="38" eb="40">
      <t>ヒョウジ</t>
    </rPh>
    <phoneticPr fontId="2"/>
  </si>
  <si>
    <t>ボタン選択に移行</t>
    <rPh sb="3" eb="5">
      <t>センタク</t>
    </rPh>
    <rPh sb="6" eb="8">
      <t>イコウ</t>
    </rPh>
    <phoneticPr fontId="2"/>
  </si>
  <si>
    <t>"0"と入力する</t>
    <rPh sb="4" eb="6">
      <t>ニュウリョク</t>
    </rPh>
    <phoneticPr fontId="2"/>
  </si>
  <si>
    <t>ボタン選択に移行する</t>
    <rPh sb="3" eb="5">
      <t>センタク</t>
    </rPh>
    <rPh sb="6" eb="8">
      <t>イコウ</t>
    </rPh>
    <phoneticPr fontId="2"/>
  </si>
  <si>
    <t>商品リストの表示ができる</t>
    <rPh sb="0" eb="2">
      <t>ショウヒン</t>
    </rPh>
    <rPh sb="6" eb="8">
      <t>ヒョウジ</t>
    </rPh>
    <phoneticPr fontId="2"/>
  </si>
  <si>
    <t>商品リスト(ボタン番号、商品名、値段、売切)が表示される</t>
    <rPh sb="0" eb="2">
      <t>ショウヒン</t>
    </rPh>
    <rPh sb="9" eb="11">
      <t>バンゴウ</t>
    </rPh>
    <rPh sb="12" eb="15">
      <t>ショウヒンメイ</t>
    </rPh>
    <rPh sb="16" eb="18">
      <t>ネダン</t>
    </rPh>
    <rPh sb="19" eb="21">
      <t>バイキリ</t>
    </rPh>
    <rPh sb="23" eb="25">
      <t>ヒョウジ</t>
    </rPh>
    <phoneticPr fontId="2"/>
  </si>
  <si>
    <t>ボタン番号の入力</t>
    <rPh sb="3" eb="5">
      <t>バンゴウ</t>
    </rPh>
    <rPh sb="6" eb="8">
      <t>ニュウリョク</t>
    </rPh>
    <phoneticPr fontId="2"/>
  </si>
  <si>
    <t>"ボタンを選択しなおしてください"と表示される
再入力が可能になる</t>
    <rPh sb="5" eb="7">
      <t>センタク</t>
    </rPh>
    <rPh sb="18" eb="20">
      <t>ヒョウジ</t>
    </rPh>
    <rPh sb="24" eb="27">
      <t>サイニュウリョク</t>
    </rPh>
    <rPh sb="28" eb="30">
      <t>カノウ</t>
    </rPh>
    <phoneticPr fontId="2"/>
  </si>
  <si>
    <t>"Colaを購入1本しました。"と表示される</t>
    <rPh sb="6" eb="8">
      <t>コウニュウ</t>
    </rPh>
    <rPh sb="9" eb="10">
      <t>ポン</t>
    </rPh>
    <phoneticPr fontId="2"/>
  </si>
  <si>
    <t>"2"と入力する</t>
    <rPh sb="4" eb="6">
      <t>ニュウリョク</t>
    </rPh>
    <phoneticPr fontId="2"/>
  </si>
  <si>
    <t>"Colaを購入1本しました。"と表示される</t>
    <phoneticPr fontId="2"/>
  </si>
  <si>
    <t>"3"と入力する</t>
    <rPh sb="4" eb="6">
      <t>ニュウリョク</t>
    </rPh>
    <phoneticPr fontId="2"/>
  </si>
  <si>
    <t>"Greenteaを購入1本しました。"と表示される</t>
    <phoneticPr fontId="2"/>
  </si>
  <si>
    <t>"4"と入力する</t>
    <rPh sb="4" eb="6">
      <t>ニュウリョク</t>
    </rPh>
    <phoneticPr fontId="2"/>
  </si>
  <si>
    <t>"Waterを購入1本しました。"と表示される</t>
    <phoneticPr fontId="2"/>
  </si>
  <si>
    <t>"5"と入力する</t>
    <rPh sb="4" eb="6">
      <t>ニュウリョク</t>
    </rPh>
    <phoneticPr fontId="2"/>
  </si>
  <si>
    <t>"Coffeeを購入1本しました。"と表示される</t>
    <phoneticPr fontId="2"/>
  </si>
  <si>
    <t>"6"と入力する</t>
    <rPh sb="4" eb="6">
      <t>ニュウリョク</t>
    </rPh>
    <phoneticPr fontId="2"/>
  </si>
  <si>
    <t>"Enargydrinkを購入1本しました。"と表示される</t>
    <phoneticPr fontId="2"/>
  </si>
  <si>
    <t>"7"と入力する</t>
    <rPh sb="4" eb="6">
      <t>ニュウリョク</t>
    </rPh>
    <phoneticPr fontId="2"/>
  </si>
  <si>
    <t>"Yagult10000を購入1本しました。"と表示される</t>
    <phoneticPr fontId="2"/>
  </si>
  <si>
    <t>"8"と入力する</t>
    <rPh sb="4" eb="6">
      <t>ニュウリョク</t>
    </rPh>
    <phoneticPr fontId="2"/>
  </si>
  <si>
    <t>"1.1"と入力する</t>
    <rPh sb="6" eb="8">
      <t>ニュウリョク</t>
    </rPh>
    <phoneticPr fontId="2"/>
  </si>
  <si>
    <t>"１"(全角)と入力する</t>
    <rPh sb="4" eb="6">
      <t>ゼンカク</t>
    </rPh>
    <rPh sb="8" eb="10">
      <t>ニュウリョク</t>
    </rPh>
    <phoneticPr fontId="2"/>
  </si>
  <si>
    <t>投入金額の返却</t>
    <rPh sb="0" eb="2">
      <t>トウニュウ</t>
    </rPh>
    <rPh sb="2" eb="4">
      <t>キンガク</t>
    </rPh>
    <rPh sb="5" eb="7">
      <t>ヘンキャク</t>
    </rPh>
    <phoneticPr fontId="2"/>
  </si>
  <si>
    <t>"全額返金します"と表示される
投入された金額が返金される</t>
    <rPh sb="1" eb="3">
      <t>ゼンガク</t>
    </rPh>
    <rPh sb="3" eb="5">
      <t>ヘンキン</t>
    </rPh>
    <rPh sb="10" eb="12">
      <t>ヒョウジ</t>
    </rPh>
    <rPh sb="16" eb="18">
      <t>トウニュウ</t>
    </rPh>
    <rPh sb="21" eb="23">
      <t>キンガク</t>
    </rPh>
    <rPh sb="24" eb="26">
      <t>ヘンキン</t>
    </rPh>
    <phoneticPr fontId="2"/>
  </si>
  <si>
    <t>お釣りの計算</t>
    <rPh sb="1" eb="2">
      <t>ツ</t>
    </rPh>
    <rPh sb="4" eb="6">
      <t>ケイサン</t>
    </rPh>
    <phoneticPr fontId="2"/>
  </si>
  <si>
    <t>130円を投入する
コーラ(ボタン番号1)を購入する</t>
    <rPh sb="3" eb="4">
      <t>エン</t>
    </rPh>
    <rPh sb="5" eb="7">
      <t>トウニュウ</t>
    </rPh>
    <rPh sb="17" eb="19">
      <t>バンゴウ</t>
    </rPh>
    <phoneticPr fontId="2"/>
  </si>
  <si>
    <t>"おつりは0円です"と表示される</t>
    <rPh sb="6" eb="7">
      <t>エン</t>
    </rPh>
    <rPh sb="11" eb="13">
      <t>ヒョウジ</t>
    </rPh>
    <phoneticPr fontId="2"/>
  </si>
  <si>
    <t>130円を投入する
コーラ(ボタン番号2)を購入する</t>
    <rPh sb="3" eb="4">
      <t>エン</t>
    </rPh>
    <rPh sb="5" eb="7">
      <t>トウニュウ</t>
    </rPh>
    <rPh sb="17" eb="19">
      <t>バンゴウ</t>
    </rPh>
    <phoneticPr fontId="2"/>
  </si>
  <si>
    <t>110円を投入する
緑茶(ボタン番号3)を購入する</t>
    <rPh sb="3" eb="4">
      <t>エン</t>
    </rPh>
    <rPh sb="5" eb="7">
      <t>トウニュウ</t>
    </rPh>
    <rPh sb="10" eb="12">
      <t>リョクチャ</t>
    </rPh>
    <rPh sb="16" eb="18">
      <t>バンゴウ</t>
    </rPh>
    <phoneticPr fontId="2"/>
  </si>
  <si>
    <t>100円を投入する
水(ボタン番号4)を購入する</t>
    <rPh sb="3" eb="4">
      <t>エン</t>
    </rPh>
    <rPh sb="5" eb="7">
      <t>トウニュウ</t>
    </rPh>
    <rPh sb="10" eb="11">
      <t>ミズ</t>
    </rPh>
    <rPh sb="15" eb="17">
      <t>バンゴウ</t>
    </rPh>
    <phoneticPr fontId="2"/>
  </si>
  <si>
    <t>110円を投入する
コーヒー(ボタン番号5)を購入する</t>
    <rPh sb="3" eb="4">
      <t>エン</t>
    </rPh>
    <rPh sb="5" eb="7">
      <t>トウニュウ</t>
    </rPh>
    <rPh sb="18" eb="20">
      <t>バンゴウ</t>
    </rPh>
    <rPh sb="23" eb="25">
      <t>コウニュウ</t>
    </rPh>
    <phoneticPr fontId="2"/>
  </si>
  <si>
    <t>120円を投入する
エナジードリンク(ボタン番号6)を購入する</t>
    <rPh sb="3" eb="4">
      <t>エン</t>
    </rPh>
    <rPh sb="5" eb="7">
      <t>トウニュウ</t>
    </rPh>
    <rPh sb="22" eb="24">
      <t>バンゴウ</t>
    </rPh>
    <rPh sb="27" eb="29">
      <t>コウニュウ</t>
    </rPh>
    <phoneticPr fontId="2"/>
  </si>
  <si>
    <t>150円を投入する
ヤグルト10000(ボタン番号7)を購入する</t>
    <rPh sb="3" eb="4">
      <t>エン</t>
    </rPh>
    <rPh sb="5" eb="7">
      <t>トウニュウ</t>
    </rPh>
    <rPh sb="23" eb="25">
      <t>バンゴウ</t>
    </rPh>
    <rPh sb="28" eb="30">
      <t>コウニュウ</t>
    </rPh>
    <phoneticPr fontId="2"/>
  </si>
  <si>
    <t>1000円を投入する
コーラ(ボタン番号1)を購入する</t>
    <rPh sb="4" eb="5">
      <t>エン</t>
    </rPh>
    <rPh sb="6" eb="8">
      <t>トウニュウ</t>
    </rPh>
    <rPh sb="18" eb="20">
      <t>バンゴウ</t>
    </rPh>
    <phoneticPr fontId="2"/>
  </si>
  <si>
    <t>"おつりは870円です"と表示される</t>
    <rPh sb="8" eb="9">
      <t>エン</t>
    </rPh>
    <rPh sb="13" eb="15">
      <t>ヒョウジ</t>
    </rPh>
    <phoneticPr fontId="2"/>
  </si>
  <si>
    <t>1000円を投入する
コーラ(ボタン番号2)を購入する</t>
    <rPh sb="4" eb="5">
      <t>エン</t>
    </rPh>
    <rPh sb="6" eb="8">
      <t>トウニュウ</t>
    </rPh>
    <rPh sb="18" eb="20">
      <t>バンゴウ</t>
    </rPh>
    <phoneticPr fontId="2"/>
  </si>
  <si>
    <t>1000円を投入する
緑茶(ボタン番号3)を購入する</t>
    <rPh sb="4" eb="5">
      <t>エン</t>
    </rPh>
    <rPh sb="6" eb="8">
      <t>トウニュウ</t>
    </rPh>
    <rPh sb="11" eb="13">
      <t>リョクチャ</t>
    </rPh>
    <rPh sb="17" eb="19">
      <t>バンゴウ</t>
    </rPh>
    <phoneticPr fontId="2"/>
  </si>
  <si>
    <t>"おつりは890円です"と表示される</t>
    <rPh sb="8" eb="9">
      <t>エン</t>
    </rPh>
    <rPh sb="13" eb="15">
      <t>ヒョウジ</t>
    </rPh>
    <phoneticPr fontId="2"/>
  </si>
  <si>
    <t>1000円を投入する
水(ボタン番号4)を購入する</t>
    <rPh sb="4" eb="5">
      <t>エン</t>
    </rPh>
    <rPh sb="6" eb="8">
      <t>トウニュウ</t>
    </rPh>
    <rPh sb="11" eb="12">
      <t>ミズ</t>
    </rPh>
    <rPh sb="16" eb="18">
      <t>バンゴウ</t>
    </rPh>
    <phoneticPr fontId="2"/>
  </si>
  <si>
    <t>"おつりは900円です"と表示される</t>
    <rPh sb="8" eb="9">
      <t>エン</t>
    </rPh>
    <rPh sb="13" eb="15">
      <t>ヒョウジ</t>
    </rPh>
    <phoneticPr fontId="2"/>
  </si>
  <si>
    <t>1000円を投入する
コーヒー(ボタン番号5)を購入する</t>
    <rPh sb="4" eb="5">
      <t>エン</t>
    </rPh>
    <rPh sb="6" eb="8">
      <t>トウニュウ</t>
    </rPh>
    <rPh sb="19" eb="21">
      <t>バンゴウ</t>
    </rPh>
    <rPh sb="24" eb="26">
      <t>コウニュウ</t>
    </rPh>
    <phoneticPr fontId="2"/>
  </si>
  <si>
    <t>1000円を投入する
エナジードリンク(ボタン番号6)を購入する</t>
    <rPh sb="4" eb="5">
      <t>エン</t>
    </rPh>
    <rPh sb="6" eb="8">
      <t>トウニュウ</t>
    </rPh>
    <rPh sb="23" eb="25">
      <t>バンゴウ</t>
    </rPh>
    <rPh sb="28" eb="30">
      <t>コウニュウ</t>
    </rPh>
    <phoneticPr fontId="2"/>
  </si>
  <si>
    <t>"おつりは880円です"と表示される</t>
    <rPh sb="8" eb="9">
      <t>エン</t>
    </rPh>
    <rPh sb="13" eb="15">
      <t>ヒョウジ</t>
    </rPh>
    <phoneticPr fontId="2"/>
  </si>
  <si>
    <t>1000円を投入する
ヤグルト10000(ボタン番号7)を購入する</t>
    <rPh sb="4" eb="5">
      <t>エン</t>
    </rPh>
    <rPh sb="6" eb="8">
      <t>トウニュウ</t>
    </rPh>
    <rPh sb="24" eb="26">
      <t>バンゴウ</t>
    </rPh>
    <rPh sb="29" eb="31">
      <t>コウニュウ</t>
    </rPh>
    <phoneticPr fontId="2"/>
  </si>
  <si>
    <t>"おつりは850円です"と表示される</t>
    <rPh sb="8" eb="9">
      <t>エン</t>
    </rPh>
    <rPh sb="13" eb="15">
      <t>ヒョウジ</t>
    </rPh>
    <phoneticPr fontId="2"/>
  </si>
  <si>
    <t>お釣りの配分</t>
    <rPh sb="1" eb="2">
      <t>ツ</t>
    </rPh>
    <rPh sb="4" eb="6">
      <t>ハイブン</t>
    </rPh>
    <phoneticPr fontId="2"/>
  </si>
  <si>
    <t>1990円を投入する
コーラ(ボタン番号1)を購入する</t>
    <rPh sb="4" eb="5">
      <t>エン</t>
    </rPh>
    <rPh sb="6" eb="8">
      <t>トウニュウ</t>
    </rPh>
    <rPh sb="18" eb="20">
      <t>バンゴウ</t>
    </rPh>
    <rPh sb="23" eb="25">
      <t>コウニュウ</t>
    </rPh>
    <phoneticPr fontId="2"/>
  </si>
  <si>
    <t>1860円分のおつりが各紙幣・硬貨が何枚か正しく大きい順に表示される</t>
    <rPh sb="4" eb="6">
      <t>エンブン</t>
    </rPh>
    <rPh sb="11" eb="12">
      <t>カク</t>
    </rPh>
    <rPh sb="12" eb="14">
      <t>シヘイ</t>
    </rPh>
    <rPh sb="15" eb="17">
      <t>コウカ</t>
    </rPh>
    <rPh sb="18" eb="20">
      <t>ナンマイ</t>
    </rPh>
    <rPh sb="21" eb="22">
      <t>タダ</t>
    </rPh>
    <rPh sb="24" eb="25">
      <t>オオ</t>
    </rPh>
    <rPh sb="27" eb="28">
      <t>ジュン</t>
    </rPh>
    <rPh sb="29" eb="31">
      <t>ヒョウジ</t>
    </rPh>
    <phoneticPr fontId="2"/>
  </si>
  <si>
    <t>50円玉がないときの対応</t>
    <rPh sb="2" eb="4">
      <t>エンダマ</t>
    </rPh>
    <rPh sb="10" eb="12">
      <t>タイオウ</t>
    </rPh>
    <phoneticPr fontId="2"/>
  </si>
  <si>
    <t>50円玉がない状態にする
おつりが50円以上になるように購入する</t>
    <rPh sb="2" eb="4">
      <t>エンダマ</t>
    </rPh>
    <rPh sb="7" eb="9">
      <t>ジョウタイ</t>
    </rPh>
    <rPh sb="19" eb="22">
      <t>エンイジョウ</t>
    </rPh>
    <rPh sb="28" eb="30">
      <t>コウニュウ</t>
    </rPh>
    <phoneticPr fontId="2"/>
  </si>
  <si>
    <t>おつりに50円玉を含まず、10円玉で排出される</t>
    <rPh sb="6" eb="8">
      <t>エンダマ</t>
    </rPh>
    <rPh sb="9" eb="10">
      <t>フク</t>
    </rPh>
    <rPh sb="15" eb="17">
      <t>エンダマ</t>
    </rPh>
    <rPh sb="18" eb="20">
      <t>ハイシュツ</t>
    </rPh>
    <phoneticPr fontId="2"/>
  </si>
  <si>
    <t>500円玉がない時の対応</t>
    <rPh sb="3" eb="5">
      <t>エンダマ</t>
    </rPh>
    <rPh sb="8" eb="9">
      <t>トキ</t>
    </rPh>
    <rPh sb="10" eb="12">
      <t>タイオウ</t>
    </rPh>
    <phoneticPr fontId="2"/>
  </si>
  <si>
    <t>500円玉がない状態にする
おつりが500円以上になるように購入する</t>
    <rPh sb="3" eb="5">
      <t>エンダマ</t>
    </rPh>
    <rPh sb="8" eb="10">
      <t>ジョウタイ</t>
    </rPh>
    <rPh sb="21" eb="24">
      <t>エンイジョウ</t>
    </rPh>
    <rPh sb="30" eb="32">
      <t>コウニュウ</t>
    </rPh>
    <phoneticPr fontId="2"/>
  </si>
  <si>
    <t>おつりに500円玉を含まず、100円玉で排出される</t>
    <rPh sb="7" eb="9">
      <t>エンダマ</t>
    </rPh>
    <rPh sb="10" eb="11">
      <t>フク</t>
    </rPh>
    <rPh sb="17" eb="19">
      <t>エンダマ</t>
    </rPh>
    <rPh sb="20" eb="22">
      <t>ハイシュツ</t>
    </rPh>
    <phoneticPr fontId="2"/>
  </si>
  <si>
    <t>xamppを起動できる</t>
    <rPh sb="6" eb="8">
      <t>キドウ</t>
    </rPh>
    <phoneticPr fontId="2"/>
  </si>
  <si>
    <t>1:xampp-control.exeを起動
2:言語を選択する
3:xamppが起動する</t>
    <rPh sb="20" eb="22">
      <t>キドウ</t>
    </rPh>
    <rPh sb="25" eb="27">
      <t>ゲンゴ</t>
    </rPh>
    <rPh sb="28" eb="30">
      <t>センタク</t>
    </rPh>
    <rPh sb="41" eb="43">
      <t>キドウ</t>
    </rPh>
    <phoneticPr fontId="2"/>
  </si>
  <si>
    <t>1:xamppが起動する
2:図のようなウィンドウが表示される</t>
    <rPh sb="8" eb="10">
      <t>キドウ</t>
    </rPh>
    <rPh sb="15" eb="16">
      <t>ズ</t>
    </rPh>
    <rPh sb="26" eb="28">
      <t>ヒョウジ</t>
    </rPh>
    <phoneticPr fontId="2"/>
  </si>
  <si>
    <t>shellを起動できる</t>
    <rPh sb="6" eb="8">
      <t>キドウ</t>
    </rPh>
    <phoneticPr fontId="2"/>
  </si>
  <si>
    <t>1:MySQLをstartさせる
2:shellを起動する
3:"mysql -u root -p"と入力して実行する
4:パスワードは空欄で実行</t>
    <rPh sb="25" eb="27">
      <t>キドウ</t>
    </rPh>
    <rPh sb="51" eb="53">
      <t>ニュウリョク</t>
    </rPh>
    <rPh sb="55" eb="57">
      <t>ジッコウ</t>
    </rPh>
    <rPh sb="68" eb="70">
      <t>クウラン</t>
    </rPh>
    <rPh sb="71" eb="73">
      <t>ジッコウ</t>
    </rPh>
    <phoneticPr fontId="2"/>
  </si>
  <si>
    <t>1:図のようなウィンドウが表示される</t>
    <rPh sb="2" eb="3">
      <t>ズ</t>
    </rPh>
    <rPh sb="13" eb="15">
      <t>ヒョウジ</t>
    </rPh>
    <phoneticPr fontId="2"/>
  </si>
  <si>
    <t>MySQLを操作できる</t>
    <rPh sb="6" eb="8">
      <t>ソウサ</t>
    </rPh>
    <phoneticPr fontId="2"/>
  </si>
  <si>
    <t>1:shellに"mysql -u root -p"と入力して実行する
2:パスワードは空欄で実行</t>
    <phoneticPr fontId="2"/>
  </si>
  <si>
    <t>1:MySQLに接続される
2:MySQLの操作が可能になる</t>
    <rPh sb="8" eb="10">
      <t>セツゾク</t>
    </rPh>
    <rPh sb="22" eb="24">
      <t>ソウサ</t>
    </rPh>
    <rPh sb="25" eb="27">
      <t>カノウ</t>
    </rPh>
    <phoneticPr fontId="2"/>
  </si>
  <si>
    <t>EclipceとMySQLを接続する</t>
    <rPh sb="14" eb="16">
      <t>セツゾク</t>
    </rPh>
    <phoneticPr fontId="2"/>
  </si>
  <si>
    <t>1:eclipseのパースペクティブをDBViewerに変更する
2:DBViewerPluginを右クリックし、登録をクリック
3:定義名を入力する
4:ファイルの追加からJDBCドライバを選択
mysql-connector-java-xxx.jarというファイルがドライバ
5:必要情報を入力する
　JDBC Driver:com.mysql.jdbc.Driver
　JDBC タイプ:Type4
　接続文字列:jdbc:mysql://localhost:3306/
　接続ユーザ:root
　パスワード:(空欄)
6:DB1を右クリックし、接続を選択する</t>
    <rPh sb="28" eb="30">
      <t>ヘンコウ</t>
    </rPh>
    <rPh sb="50" eb="51">
      <t>ミギ</t>
    </rPh>
    <rPh sb="57" eb="59">
      <t>トウロク</t>
    </rPh>
    <rPh sb="67" eb="69">
      <t>テイギ</t>
    </rPh>
    <rPh sb="69" eb="70">
      <t>メイ</t>
    </rPh>
    <rPh sb="71" eb="73">
      <t>ニュウリョク</t>
    </rPh>
    <rPh sb="83" eb="85">
      <t>ツイカ</t>
    </rPh>
    <rPh sb="96" eb="98">
      <t>センタク</t>
    </rPh>
    <rPh sb="142" eb="144">
      <t>ヒツヨウ</t>
    </rPh>
    <rPh sb="144" eb="146">
      <t>ジョウホウ</t>
    </rPh>
    <rPh sb="147" eb="149">
      <t>ニュウリョク</t>
    </rPh>
    <rPh sb="269" eb="270">
      <t>ミギ</t>
    </rPh>
    <rPh sb="276" eb="278">
      <t>セツゾク</t>
    </rPh>
    <rPh sb="279" eb="281">
      <t>センタク</t>
    </rPh>
    <phoneticPr fontId="2"/>
  </si>
  <si>
    <t>1:接続が完了し、データベースが表示される。</t>
    <rPh sb="2" eb="4">
      <t>セツゾク</t>
    </rPh>
    <rPh sb="5" eb="7">
      <t>カンリョウ</t>
    </rPh>
    <rPh sb="16" eb="18">
      <t>ヒョウジ</t>
    </rPh>
    <phoneticPr fontId="2"/>
  </si>
  <si>
    <t>アプリケーションに必要なデータベースが用意されている</t>
    <rPh sb="9" eb="11">
      <t>ヒツヨウ</t>
    </rPh>
    <rPh sb="19" eb="21">
      <t>ヨウイ</t>
    </rPh>
    <phoneticPr fontId="2"/>
  </si>
  <si>
    <t>1:xamppのshellに"show databases"と入力し実行する
2:というデータベースが存在していることを確認する。</t>
    <rPh sb="31" eb="33">
      <t>ニュウリョク</t>
    </rPh>
    <rPh sb="34" eb="36">
      <t>ジッコウ</t>
    </rPh>
    <phoneticPr fontId="2"/>
  </si>
  <si>
    <t>1:xamppのshellにデータベース一覧が表示される</t>
    <rPh sb="20" eb="22">
      <t>イチラン</t>
    </rPh>
    <rPh sb="23" eb="25">
      <t>ヒョウジ</t>
    </rPh>
    <phoneticPr fontId="2"/>
  </si>
  <si>
    <t>起動前の飲み物のテーブルを確認</t>
    <rPh sb="0" eb="2">
      <t>キドウ</t>
    </rPh>
    <rPh sb="2" eb="3">
      <t>マエ</t>
    </rPh>
    <rPh sb="4" eb="5">
      <t>ノ</t>
    </rPh>
    <rPh sb="6" eb="7">
      <t>モノ</t>
    </rPh>
    <rPh sb="13" eb="15">
      <t>カクニン</t>
    </rPh>
    <phoneticPr fontId="2"/>
  </si>
  <si>
    <t>1:xamppのshellに"use "と入力し実行する
2:Database changedを表示される
3:xamppのshellに"select * from product"と入力し実行する</t>
    <rPh sb="21" eb="23">
      <t>ニュウリョク</t>
    </rPh>
    <rPh sb="24" eb="26">
      <t>ジッコウ</t>
    </rPh>
    <rPh sb="48" eb="50">
      <t>ヒョウジ</t>
    </rPh>
    <rPh sb="92" eb="94">
      <t>ニュウリョク</t>
    </rPh>
    <rPh sb="95" eb="97">
      <t>ジッコウ</t>
    </rPh>
    <phoneticPr fontId="2"/>
  </si>
  <si>
    <t>1:飲み物のテーブルが表示される
2:以下の内容が正しく入力されていることを確認する
　商品ID、商品名、値段、ボタン番号、総売上本数、総売上金額</t>
    <rPh sb="2" eb="3">
      <t>ノ</t>
    </rPh>
    <rPh sb="4" eb="5">
      <t>モノ</t>
    </rPh>
    <rPh sb="11" eb="13">
      <t>ヒョウジ</t>
    </rPh>
    <rPh sb="19" eb="21">
      <t>イカ</t>
    </rPh>
    <rPh sb="22" eb="24">
      <t>ナイヨウ</t>
    </rPh>
    <rPh sb="25" eb="26">
      <t>タダ</t>
    </rPh>
    <rPh sb="28" eb="30">
      <t>ニュウリョク</t>
    </rPh>
    <rPh sb="38" eb="40">
      <t>カクニン</t>
    </rPh>
    <rPh sb="44" eb="46">
      <t>ショウヒン</t>
    </rPh>
    <rPh sb="49" eb="52">
      <t>ショウヒンメイ</t>
    </rPh>
    <rPh sb="53" eb="55">
      <t>ネダン</t>
    </rPh>
    <rPh sb="59" eb="61">
      <t>バンゴウ</t>
    </rPh>
    <rPh sb="62" eb="63">
      <t>ソウ</t>
    </rPh>
    <rPh sb="63" eb="65">
      <t>ウリアゲ</t>
    </rPh>
    <rPh sb="65" eb="67">
      <t>ホンスウ</t>
    </rPh>
    <rPh sb="68" eb="69">
      <t>ソウ</t>
    </rPh>
    <rPh sb="69" eb="71">
      <t>ウリアゲ</t>
    </rPh>
    <rPh sb="71" eb="73">
      <t>キンガク</t>
    </rPh>
    <phoneticPr fontId="2"/>
  </si>
  <si>
    <t>起動前のお釣りのテーブルを確認</t>
    <rPh sb="0" eb="2">
      <t>キドウ</t>
    </rPh>
    <rPh sb="2" eb="3">
      <t>マエ</t>
    </rPh>
    <rPh sb="5" eb="6">
      <t>ツ</t>
    </rPh>
    <rPh sb="13" eb="15">
      <t>カクニン</t>
    </rPh>
    <phoneticPr fontId="2"/>
  </si>
  <si>
    <t>1:xamppのshellに"use "と入力し実行する
2:Database changedを表示される
3:xamppのshellに"select * from money"と入力し実行する</t>
    <rPh sb="21" eb="23">
      <t>ニュウリョク</t>
    </rPh>
    <rPh sb="24" eb="26">
      <t>ジッコウ</t>
    </rPh>
    <rPh sb="48" eb="50">
      <t>ヒョウジ</t>
    </rPh>
    <rPh sb="90" eb="92">
      <t>ニュウリョク</t>
    </rPh>
    <rPh sb="93" eb="95">
      <t>ジッコウ</t>
    </rPh>
    <phoneticPr fontId="2"/>
  </si>
  <si>
    <t>1:おつりのテーブルが表示される
2:以下の内容が正しく入力されていることを確認する
　金額、枚数</t>
    <rPh sb="11" eb="13">
      <t>ヒョウジ</t>
    </rPh>
    <rPh sb="19" eb="21">
      <t>イカ</t>
    </rPh>
    <rPh sb="22" eb="24">
      <t>ナイヨウ</t>
    </rPh>
    <rPh sb="25" eb="26">
      <t>タダ</t>
    </rPh>
    <rPh sb="28" eb="30">
      <t>ニュウリョク</t>
    </rPh>
    <rPh sb="38" eb="40">
      <t>カクニン</t>
    </rPh>
    <rPh sb="44" eb="46">
      <t>キンガク</t>
    </rPh>
    <rPh sb="47" eb="49">
      <t>マイスウ</t>
    </rPh>
    <phoneticPr fontId="2"/>
  </si>
  <si>
    <t>起動後の飲み物のテーブルを確認</t>
    <rPh sb="0" eb="2">
      <t>キドウ</t>
    </rPh>
    <rPh sb="2" eb="3">
      <t>アト</t>
    </rPh>
    <rPh sb="4" eb="5">
      <t>ノ</t>
    </rPh>
    <rPh sb="6" eb="7">
      <t>モノ</t>
    </rPh>
    <rPh sb="13" eb="15">
      <t>カクニン</t>
    </rPh>
    <phoneticPr fontId="2"/>
  </si>
  <si>
    <t>起動後のお釣りのテーブルを確認</t>
    <rPh sb="0" eb="2">
      <t>キドウ</t>
    </rPh>
    <rPh sb="2" eb="3">
      <t>ゴ</t>
    </rPh>
    <rPh sb="5" eb="6">
      <t>ツ</t>
    </rPh>
    <rPh sb="13" eb="15">
      <t>カクニン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</si>
</sst>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9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24"/>
      <color theme="1"/>
      <name val="ＭＳ Ｐゴシック"/>
      <family val="3"/>
      <charset val="128"/>
    </font>
    <font>
      <sz val="36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3" borderId="1" xfId="0" applyFill="1" applyBorder="1" applyAlignment="1">
      <alignment horizontal="left" vertical="center" wrapText="1"/>
    </xf>
    <xf numFmtId="0" fontId="0" fillId="3" borderId="1" xfId="0" applyFill="1" applyBorder="1" applyAlignment="1">
      <alignment vertical="center" wrapText="1"/>
    </xf>
    <xf numFmtId="0" fontId="0" fillId="0" borderId="1" xfId="0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20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6" borderId="1" xfId="0" applyFill="1" applyBorder="1">
      <alignment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20" fontId="0" fillId="0" borderId="1" xfId="0" applyNumberForma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6" fillId="0" borderId="0" xfId="0" applyNumberFormat="1" applyFont="1">
      <alignment vertical="center"/>
    </xf>
    <xf numFmtId="31" fontId="6" fillId="0" borderId="0" xfId="0" applyNumberFormat="1" applyFont="1">
      <alignment vertical="center"/>
    </xf>
    <xf numFmtId="0" fontId="7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4" xfId="0" applyBorder="1">
      <alignment vertical="center"/>
    </xf>
    <xf numFmtId="176" fontId="0" fillId="0" borderId="1" xfId="0" applyNumberFormat="1" applyBorder="1" applyAlignment="1">
      <alignment horizontal="right" vertical="center"/>
    </xf>
    <xf numFmtId="0" fontId="8" fillId="0" borderId="0" xfId="0" applyFont="1" applyAlignment="1">
      <alignment horizontal="center" vertical="center"/>
    </xf>
    <xf numFmtId="31" fontId="8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31" fontId="6" fillId="0" borderId="8" xfId="0" applyNumberFormat="1" applyFont="1" applyBorder="1" applyAlignment="1">
      <alignment horizontal="center" vertical="center"/>
    </xf>
    <xf numFmtId="31" fontId="6" fillId="0" borderId="9" xfId="0" applyNumberFormat="1" applyFont="1" applyBorder="1" applyAlignment="1">
      <alignment horizontal="center" vertical="center"/>
    </xf>
    <xf numFmtId="31" fontId="6" fillId="0" borderId="10" xfId="0" applyNumberFormat="1" applyFont="1" applyBorder="1" applyAlignment="1">
      <alignment horizontal="center" vertical="center"/>
    </xf>
    <xf numFmtId="31" fontId="6" fillId="0" borderId="3" xfId="0" applyNumberFormat="1" applyFont="1" applyBorder="1" applyAlignment="1">
      <alignment horizontal="center" vertical="center"/>
    </xf>
    <xf numFmtId="31" fontId="6" fillId="0" borderId="7" xfId="0" applyNumberFormat="1" applyFont="1" applyBorder="1" applyAlignment="1">
      <alignment horizontal="center" vertical="center"/>
    </xf>
    <xf numFmtId="31" fontId="6" fillId="0" borderId="2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9" xfId="0" applyNumberFormat="1" applyFont="1" applyBorder="1" applyAlignment="1">
      <alignment horizontal="center" vertical="center"/>
    </xf>
    <xf numFmtId="49" fontId="6" fillId="0" borderId="10" xfId="0" applyNumberFormat="1" applyFont="1" applyBorder="1" applyAlignment="1">
      <alignment horizontal="center" vertical="center"/>
    </xf>
  </cellXfs>
  <cellStyles count="1">
    <cellStyle name="標準" xfId="0" builtinId="0"/>
  </cellStyles>
  <dxfs count="6">
    <dxf>
      <fill>
        <patternFill>
          <bgColor theme="4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0</xdr:row>
          <xdr:rowOff>0</xdr:rowOff>
        </xdr:from>
        <xdr:to>
          <xdr:col>4</xdr:col>
          <xdr:colOff>2781300</xdr:colOff>
          <xdr:row>1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セルを選択して日付入力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2790825</xdr:colOff>
      <xdr:row>10</xdr:row>
      <xdr:rowOff>88100</xdr:rowOff>
    </xdr:from>
    <xdr:to>
      <xdr:col>4</xdr:col>
      <xdr:colOff>4130554</xdr:colOff>
      <xdr:row>12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96500" y="2231225"/>
          <a:ext cx="1339729" cy="864400"/>
        </a:xfrm>
        <a:prstGeom prst="rect">
          <a:avLst/>
        </a:prstGeom>
      </xdr:spPr>
    </xdr:pic>
    <xdr:clientData/>
  </xdr:twoCellAnchor>
  <xdr:twoCellAnchor editAs="oneCell">
    <xdr:from>
      <xdr:col>4</xdr:col>
      <xdr:colOff>2460045</xdr:colOff>
      <xdr:row>12</xdr:row>
      <xdr:rowOff>66675</xdr:rowOff>
    </xdr:from>
    <xdr:to>
      <xdr:col>5</xdr:col>
      <xdr:colOff>1350765</xdr:colOff>
      <xdr:row>13</xdr:row>
      <xdr:rowOff>428624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8212" r="36015" b="32819"/>
        <a:stretch/>
      </xdr:blipFill>
      <xdr:spPr>
        <a:xfrm>
          <a:off x="9765720" y="3162300"/>
          <a:ext cx="3205545" cy="1314449"/>
        </a:xfrm>
        <a:prstGeom prst="rect">
          <a:avLst/>
        </a:prstGeom>
      </xdr:spPr>
    </xdr:pic>
    <xdr:clientData/>
  </xdr:twoCellAnchor>
  <xdr:twoCellAnchor editAs="oneCell">
    <xdr:from>
      <xdr:col>4</xdr:col>
      <xdr:colOff>847725</xdr:colOff>
      <xdr:row>14</xdr:row>
      <xdr:rowOff>1504950</xdr:rowOff>
    </xdr:from>
    <xdr:to>
      <xdr:col>4</xdr:col>
      <xdr:colOff>2361661</xdr:colOff>
      <xdr:row>14</xdr:row>
      <xdr:rowOff>2838450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147" t="25780" r="64750" b="49391"/>
        <a:stretch/>
      </xdr:blipFill>
      <xdr:spPr>
        <a:xfrm>
          <a:off x="7991475" y="4124325"/>
          <a:ext cx="1513936" cy="1333500"/>
        </a:xfrm>
        <a:prstGeom prst="rect">
          <a:avLst/>
        </a:prstGeom>
      </xdr:spPr>
    </xdr:pic>
    <xdr:clientData/>
  </xdr:twoCellAnchor>
  <xdr:twoCellAnchor editAs="oneCell">
    <xdr:from>
      <xdr:col>4</xdr:col>
      <xdr:colOff>3228975</xdr:colOff>
      <xdr:row>14</xdr:row>
      <xdr:rowOff>1857375</xdr:rowOff>
    </xdr:from>
    <xdr:to>
      <xdr:col>5</xdr:col>
      <xdr:colOff>638175</xdr:colOff>
      <xdr:row>16</xdr:row>
      <xdr:rowOff>209550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557" r="81509" b="46869"/>
        <a:stretch/>
      </xdr:blipFill>
      <xdr:spPr>
        <a:xfrm>
          <a:off x="10534650" y="6381750"/>
          <a:ext cx="1724025" cy="16859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0</xdr:row>
          <xdr:rowOff>0</xdr:rowOff>
        </xdr:from>
        <xdr:to>
          <xdr:col>4</xdr:col>
          <xdr:colOff>2781300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セルを選択して日付入力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X37"/>
  <sheetViews>
    <sheetView zoomScale="85" zoomScaleNormal="85" workbookViewId="0"/>
  </sheetViews>
  <sheetFormatPr defaultColWidth="3.125" defaultRowHeight="18.75"/>
  <sheetData>
    <row r="3" spans="2:24" ht="18.75" customHeight="1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</row>
    <row r="4" spans="2:24" ht="18.75" customHeight="1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2:24" ht="18.75" customHeight="1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</row>
    <row r="6" spans="2:24" ht="18.75" customHeight="1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</row>
    <row r="8" spans="2:24">
      <c r="C8" s="34" t="s">
        <v>0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</row>
    <row r="9" spans="2:24" ht="18.75" customHeight="1"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</row>
    <row r="10" spans="2:24" ht="18.75" customHeight="1"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</row>
    <row r="11" spans="2:24" ht="18.75" customHeight="1">
      <c r="C11" s="34" t="s">
        <v>1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</row>
    <row r="12" spans="2:24" ht="18.75" customHeight="1"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</row>
    <row r="13" spans="2:24"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</row>
    <row r="15" spans="2:24" ht="18.75" customHeight="1"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</row>
    <row r="16" spans="2:24" ht="18.75" customHeight="1"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</row>
    <row r="17" spans="2:24" ht="18.75" customHeight="1"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</row>
    <row r="18" spans="2:24" ht="18.75" customHeight="1">
      <c r="C18" s="34" t="s">
        <v>2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</row>
    <row r="19" spans="2:24" ht="18.75" customHeight="1"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</row>
    <row r="20" spans="2:24"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</row>
    <row r="30" spans="2:24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2:24">
      <c r="B31" s="10"/>
      <c r="C31" s="26"/>
      <c r="D31" s="26"/>
      <c r="E31" s="26"/>
      <c r="F31" s="26"/>
      <c r="G31" s="27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2:24">
      <c r="B32" s="33">
        <v>44734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</row>
    <row r="33" spans="2:24"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</row>
    <row r="34" spans="2:24">
      <c r="B34" s="32" t="s">
        <v>3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</row>
    <row r="35" spans="2:2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</row>
    <row r="36" spans="2:24">
      <c r="B36" s="32" t="s">
        <v>4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</row>
    <row r="37" spans="2:24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</row>
  </sheetData>
  <mergeCells count="6">
    <mergeCell ref="B36:X37"/>
    <mergeCell ref="B34:X35"/>
    <mergeCell ref="B32:X33"/>
    <mergeCell ref="C8:W10"/>
    <mergeCell ref="C11:W13"/>
    <mergeCell ref="C18:W20"/>
  </mergeCells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8"/>
  <sheetViews>
    <sheetView workbookViewId="0">
      <selection activeCell="L16" sqref="L16"/>
    </sheetView>
  </sheetViews>
  <sheetFormatPr defaultColWidth="3.125" defaultRowHeight="18.75"/>
  <sheetData>
    <row r="1" spans="1:25">
      <c r="A1" s="3" t="s">
        <v>5</v>
      </c>
      <c r="B1" s="3"/>
      <c r="C1" s="23"/>
      <c r="D1" s="48" t="s">
        <v>6</v>
      </c>
      <c r="E1" s="48"/>
      <c r="F1" s="48"/>
      <c r="G1" s="48"/>
      <c r="H1" s="48"/>
      <c r="I1" s="48"/>
      <c r="J1" s="48"/>
      <c r="K1" s="48"/>
      <c r="L1" s="48"/>
    </row>
    <row r="2" spans="1:25">
      <c r="A2" s="47"/>
      <c r="B2" s="47"/>
    </row>
    <row r="3" spans="1:25" ht="18" customHeight="1" thickBot="1"/>
    <row r="4" spans="1:25" ht="19.5" thickBot="1">
      <c r="C4" s="41" t="s">
        <v>7</v>
      </c>
      <c r="D4" s="42"/>
      <c r="E4" s="42"/>
      <c r="F4" s="43"/>
      <c r="G4" s="41" t="s">
        <v>8</v>
      </c>
      <c r="H4" s="42"/>
      <c r="I4" s="42"/>
      <c r="J4" s="42"/>
      <c r="K4" s="42"/>
      <c r="L4" s="43"/>
      <c r="M4" s="41" t="s">
        <v>9</v>
      </c>
      <c r="N4" s="42"/>
      <c r="O4" s="42"/>
      <c r="P4" s="43"/>
      <c r="Q4" s="41" t="s">
        <v>10</v>
      </c>
      <c r="R4" s="42"/>
      <c r="S4" s="42"/>
      <c r="T4" s="42"/>
      <c r="U4" s="42"/>
      <c r="V4" s="42"/>
      <c r="W4" s="43"/>
      <c r="Y4" s="10"/>
    </row>
    <row r="5" spans="1:25">
      <c r="C5" s="55" t="s">
        <v>11</v>
      </c>
      <c r="D5" s="56"/>
      <c r="E5" s="56"/>
      <c r="F5" s="57"/>
      <c r="G5" s="49">
        <v>44734</v>
      </c>
      <c r="H5" s="50"/>
      <c r="I5" s="50"/>
      <c r="J5" s="50"/>
      <c r="K5" s="50"/>
      <c r="L5" s="51"/>
      <c r="M5" s="44" t="s">
        <v>12</v>
      </c>
      <c r="N5" s="45"/>
      <c r="O5" s="45"/>
      <c r="P5" s="46"/>
      <c r="Q5" s="44" t="s">
        <v>13</v>
      </c>
      <c r="R5" s="45"/>
      <c r="S5" s="45"/>
      <c r="T5" s="45"/>
      <c r="U5" s="45"/>
      <c r="V5" s="45"/>
      <c r="W5" s="46"/>
      <c r="Y5" s="10"/>
    </row>
    <row r="6" spans="1:25">
      <c r="C6" s="38">
        <v>1.1000000000000001</v>
      </c>
      <c r="D6" s="39"/>
      <c r="E6" s="39"/>
      <c r="F6" s="40"/>
      <c r="G6" s="52">
        <v>44735</v>
      </c>
      <c r="H6" s="53"/>
      <c r="I6" s="53"/>
      <c r="J6" s="53"/>
      <c r="K6" s="53"/>
      <c r="L6" s="54"/>
      <c r="M6" s="38" t="s">
        <v>12</v>
      </c>
      <c r="N6" s="39"/>
      <c r="O6" s="39"/>
      <c r="P6" s="40"/>
      <c r="Q6" s="38" t="s">
        <v>14</v>
      </c>
      <c r="R6" s="39"/>
      <c r="S6" s="39"/>
      <c r="T6" s="39"/>
      <c r="U6" s="39"/>
      <c r="V6" s="39"/>
      <c r="W6" s="40"/>
      <c r="Y6" s="10"/>
    </row>
    <row r="7" spans="1:25">
      <c r="C7" s="38"/>
      <c r="D7" s="39"/>
      <c r="E7" s="39"/>
      <c r="F7" s="40"/>
      <c r="G7" s="38"/>
      <c r="H7" s="39"/>
      <c r="I7" s="39"/>
      <c r="J7" s="39"/>
      <c r="K7" s="39"/>
      <c r="L7" s="40"/>
      <c r="M7" s="38"/>
      <c r="N7" s="39"/>
      <c r="O7" s="39"/>
      <c r="P7" s="40"/>
      <c r="Q7" s="38"/>
      <c r="R7" s="39"/>
      <c r="S7" s="39"/>
      <c r="T7" s="39"/>
      <c r="U7" s="39"/>
      <c r="V7" s="39"/>
      <c r="W7" s="40"/>
      <c r="Y7" s="10"/>
    </row>
    <row r="8" spans="1:25" ht="19.5" thickBot="1">
      <c r="C8" s="35"/>
      <c r="D8" s="36"/>
      <c r="E8" s="36"/>
      <c r="F8" s="37"/>
      <c r="G8" s="35"/>
      <c r="H8" s="36"/>
      <c r="I8" s="36"/>
      <c r="J8" s="36"/>
      <c r="K8" s="36"/>
      <c r="L8" s="37"/>
      <c r="M8" s="35"/>
      <c r="N8" s="36"/>
      <c r="O8" s="36"/>
      <c r="P8" s="37"/>
      <c r="Q8" s="35"/>
      <c r="R8" s="36"/>
      <c r="S8" s="36"/>
      <c r="T8" s="36"/>
      <c r="U8" s="36"/>
      <c r="V8" s="36"/>
      <c r="W8" s="37"/>
      <c r="Y8" s="10"/>
    </row>
  </sheetData>
  <mergeCells count="22">
    <mergeCell ref="C7:F7"/>
    <mergeCell ref="C8:F8"/>
    <mergeCell ref="G7:L7"/>
    <mergeCell ref="G8:L8"/>
    <mergeCell ref="M7:P7"/>
    <mergeCell ref="M8:P8"/>
    <mergeCell ref="M5:P5"/>
    <mergeCell ref="M6:P6"/>
    <mergeCell ref="G5:L5"/>
    <mergeCell ref="G6:L6"/>
    <mergeCell ref="C5:F5"/>
    <mergeCell ref="C6:F6"/>
    <mergeCell ref="A2:B2"/>
    <mergeCell ref="D1:L1"/>
    <mergeCell ref="C4:F4"/>
    <mergeCell ref="G4:L4"/>
    <mergeCell ref="M4:P4"/>
    <mergeCell ref="Q8:W8"/>
    <mergeCell ref="Q6:W6"/>
    <mergeCell ref="Q7:W7"/>
    <mergeCell ref="Q4:W4"/>
    <mergeCell ref="Q5:W5"/>
  </mergeCells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80"/>
  <sheetViews>
    <sheetView tabSelected="1" topLeftCell="B1" zoomScaleNormal="100" workbookViewId="0">
      <selection activeCell="B14" sqref="B14"/>
    </sheetView>
  </sheetViews>
  <sheetFormatPr defaultRowHeight="18.75"/>
  <cols>
    <col min="1" max="1" width="3.875" style="24" bestFit="1" customWidth="1"/>
    <col min="2" max="2" width="9.125" bestFit="1" customWidth="1"/>
    <col min="3" max="3" width="27.625" bestFit="1" customWidth="1"/>
    <col min="4" max="4" width="37.625" bestFit="1" customWidth="1"/>
    <col min="5" max="5" width="63.75" customWidth="1"/>
    <col min="6" max="6" width="64.5" customWidth="1"/>
    <col min="7" max="7" width="3" style="25" bestFit="1" customWidth="1"/>
  </cols>
  <sheetData>
    <row r="1" spans="1:7">
      <c r="A1" s="48" t="s">
        <v>5</v>
      </c>
      <c r="B1" s="48"/>
      <c r="C1" s="3" t="s">
        <v>15</v>
      </c>
      <c r="D1" s="15" t="s">
        <v>16</v>
      </c>
      <c r="E1" s="16"/>
      <c r="F1" s="15"/>
    </row>
    <row r="2" spans="1:7">
      <c r="A2" s="48"/>
      <c r="B2" s="48"/>
      <c r="C2" s="3"/>
      <c r="D2" s="15" t="s">
        <v>17</v>
      </c>
      <c r="E2" s="15"/>
    </row>
    <row r="3" spans="1:7">
      <c r="E3" s="17"/>
    </row>
    <row r="4" spans="1:7">
      <c r="B4" s="3" t="s">
        <v>18</v>
      </c>
      <c r="C4" s="18" t="s">
        <v>19</v>
      </c>
      <c r="D4" s="3" t="s">
        <v>20</v>
      </c>
    </row>
    <row r="5" spans="1:7">
      <c r="B5" s="3" t="s">
        <v>21</v>
      </c>
      <c r="C5" s="18">
        <f>COUNTA(B11:B65)</f>
        <v>0</v>
      </c>
      <c r="D5" s="30"/>
    </row>
    <row r="6" spans="1:7">
      <c r="B6" s="11" t="s">
        <v>22</v>
      </c>
      <c r="C6" s="3">
        <f>COUNTIF($B$11:$B$65,"OK")</f>
        <v>0</v>
      </c>
      <c r="D6" s="31" t="str">
        <f>IF(C6=0,"0",(C6/$C$5)*100)</f>
        <v>0</v>
      </c>
      <c r="E6" s="29"/>
    </row>
    <row r="7" spans="1:7">
      <c r="B7" s="12" t="s">
        <v>23</v>
      </c>
      <c r="C7" s="3">
        <f>COUNTIF($B$11:$B$65,"NG")</f>
        <v>0</v>
      </c>
      <c r="D7" s="31" t="str">
        <f t="shared" ref="D7:D8" si="0">IF(C7=0,"0",(C7/$C$5)*100)</f>
        <v>0</v>
      </c>
    </row>
    <row r="8" spans="1:7">
      <c r="B8" s="14" t="s">
        <v>24</v>
      </c>
      <c r="C8" s="3">
        <f>COUNTIF($B$11:$B$65,"attention")</f>
        <v>0</v>
      </c>
      <c r="D8" s="31" t="str">
        <f t="shared" si="0"/>
        <v>0</v>
      </c>
    </row>
    <row r="10" spans="1:7">
      <c r="A10" s="22" t="s">
        <v>25</v>
      </c>
      <c r="B10" s="5" t="s">
        <v>26</v>
      </c>
      <c r="C10" s="4" t="s">
        <v>27</v>
      </c>
      <c r="D10" s="4" t="s">
        <v>28</v>
      </c>
      <c r="E10" s="5" t="s">
        <v>29</v>
      </c>
      <c r="F10" s="5" t="s">
        <v>30</v>
      </c>
      <c r="G10" s="5" t="s">
        <v>31</v>
      </c>
    </row>
    <row r="11" spans="1:7">
      <c r="A11" s="19">
        <v>1</v>
      </c>
      <c r="B11" s="19"/>
      <c r="C11" s="1" t="s">
        <v>32</v>
      </c>
      <c r="D11" s="2" t="s">
        <v>33</v>
      </c>
      <c r="E11" s="2" t="s">
        <v>34</v>
      </c>
      <c r="F11" s="20"/>
      <c r="G11" s="28" t="str">
        <f>IF(OR(F11="問題なく動作",F11=""),"","!!")</f>
        <v/>
      </c>
    </row>
    <row r="12" spans="1:7" ht="37.5">
      <c r="A12" s="19">
        <v>2</v>
      </c>
      <c r="B12" s="19"/>
      <c r="C12" s="1" t="s">
        <v>35</v>
      </c>
      <c r="D12" s="2" t="s">
        <v>36</v>
      </c>
      <c r="E12" s="2" t="s">
        <v>37</v>
      </c>
      <c r="F12" s="20"/>
      <c r="G12" s="28" t="str">
        <f t="shared" ref="G12:G65" si="1">IF(OR(F12="問題なく動作",F12=""),"","!!")</f>
        <v/>
      </c>
    </row>
    <row r="13" spans="1:7" ht="37.5">
      <c r="A13" s="19">
        <v>3</v>
      </c>
      <c r="B13" s="19"/>
      <c r="C13" s="3" t="s">
        <v>38</v>
      </c>
      <c r="D13" s="2" t="s">
        <v>33</v>
      </c>
      <c r="E13" s="6" t="s">
        <v>39</v>
      </c>
      <c r="F13" s="20"/>
      <c r="G13" s="28" t="str">
        <f t="shared" si="1"/>
        <v/>
      </c>
    </row>
    <row r="14" spans="1:7" ht="37.5">
      <c r="A14" s="19">
        <v>4</v>
      </c>
      <c r="B14" s="19"/>
      <c r="C14" s="3" t="s">
        <v>40</v>
      </c>
      <c r="D14" s="6" t="s">
        <v>41</v>
      </c>
      <c r="E14" s="6" t="s">
        <v>42</v>
      </c>
      <c r="F14" s="20"/>
      <c r="G14" s="28" t="str">
        <f t="shared" si="1"/>
        <v/>
      </c>
    </row>
    <row r="15" spans="1:7">
      <c r="A15" s="19">
        <v>5</v>
      </c>
      <c r="B15" s="19"/>
      <c r="C15" s="3"/>
      <c r="D15" s="6" t="s">
        <v>43</v>
      </c>
      <c r="E15" s="6" t="s">
        <v>44</v>
      </c>
      <c r="F15" s="20"/>
      <c r="G15" s="28" t="str">
        <f t="shared" si="1"/>
        <v/>
      </c>
    </row>
    <row r="16" spans="1:7">
      <c r="A16" s="19">
        <v>6</v>
      </c>
      <c r="B16" s="19"/>
      <c r="C16" s="3"/>
      <c r="D16" s="6" t="s">
        <v>45</v>
      </c>
      <c r="E16" s="6" t="s">
        <v>46</v>
      </c>
      <c r="F16" s="20"/>
      <c r="G16" s="28" t="str">
        <f t="shared" si="1"/>
        <v/>
      </c>
    </row>
    <row r="17" spans="1:7">
      <c r="A17" s="19">
        <v>7</v>
      </c>
      <c r="B17" s="19"/>
      <c r="C17" s="3"/>
      <c r="D17" s="6" t="s">
        <v>47</v>
      </c>
      <c r="E17" s="6" t="s">
        <v>48</v>
      </c>
      <c r="F17" s="20"/>
      <c r="G17" s="28" t="str">
        <f t="shared" si="1"/>
        <v/>
      </c>
    </row>
    <row r="18" spans="1:7">
      <c r="A18" s="19">
        <v>8</v>
      </c>
      <c r="B18" s="19"/>
      <c r="C18" s="3"/>
      <c r="D18" s="6" t="s">
        <v>49</v>
      </c>
      <c r="E18" s="6" t="s">
        <v>50</v>
      </c>
      <c r="F18" s="20"/>
      <c r="G18" s="28" t="str">
        <f t="shared" si="1"/>
        <v/>
      </c>
    </row>
    <row r="19" spans="1:7">
      <c r="A19" s="19">
        <v>9</v>
      </c>
      <c r="B19" s="19"/>
      <c r="C19" s="3"/>
      <c r="D19" s="6" t="s">
        <v>51</v>
      </c>
      <c r="E19" s="6" t="s">
        <v>52</v>
      </c>
      <c r="F19" s="20"/>
      <c r="G19" s="28" t="str">
        <f t="shared" si="1"/>
        <v/>
      </c>
    </row>
    <row r="20" spans="1:7" ht="37.5">
      <c r="A20" s="19">
        <v>10</v>
      </c>
      <c r="B20" s="19"/>
      <c r="C20" s="3"/>
      <c r="D20" s="6" t="s">
        <v>53</v>
      </c>
      <c r="E20" s="6" t="s">
        <v>54</v>
      </c>
      <c r="F20" s="20"/>
      <c r="G20" s="28" t="str">
        <f t="shared" si="1"/>
        <v/>
      </c>
    </row>
    <row r="21" spans="1:7" ht="56.25">
      <c r="A21" s="19">
        <v>11</v>
      </c>
      <c r="B21" s="19"/>
      <c r="C21" s="3"/>
      <c r="D21" s="6" t="s">
        <v>55</v>
      </c>
      <c r="E21" s="21" t="s">
        <v>56</v>
      </c>
      <c r="F21" s="20"/>
      <c r="G21" s="28" t="str">
        <f t="shared" si="1"/>
        <v/>
      </c>
    </row>
    <row r="22" spans="1:7" ht="37.5">
      <c r="A22" s="19">
        <v>12</v>
      </c>
      <c r="B22" s="19"/>
      <c r="C22" s="3"/>
      <c r="D22" s="6" t="s">
        <v>57</v>
      </c>
      <c r="E22" s="6" t="s">
        <v>58</v>
      </c>
      <c r="F22" s="20"/>
      <c r="G22" s="28" t="str">
        <f t="shared" si="1"/>
        <v/>
      </c>
    </row>
    <row r="23" spans="1:7" ht="37.5">
      <c r="A23" s="19">
        <v>13</v>
      </c>
      <c r="B23" s="19"/>
      <c r="C23" s="3"/>
      <c r="D23" s="6" t="s">
        <v>59</v>
      </c>
      <c r="E23" s="6" t="s">
        <v>58</v>
      </c>
      <c r="F23" s="20"/>
      <c r="G23" s="28" t="str">
        <f t="shared" si="1"/>
        <v/>
      </c>
    </row>
    <row r="24" spans="1:7" ht="37.5">
      <c r="A24" s="19">
        <v>14</v>
      </c>
      <c r="B24" s="19"/>
      <c r="C24" s="3"/>
      <c r="D24" s="6" t="s">
        <v>60</v>
      </c>
      <c r="E24" s="6" t="s">
        <v>58</v>
      </c>
      <c r="F24" s="20"/>
      <c r="G24" s="28" t="str">
        <f t="shared" si="1"/>
        <v/>
      </c>
    </row>
    <row r="25" spans="1:7" ht="37.5">
      <c r="A25" s="19">
        <v>15</v>
      </c>
      <c r="B25" s="19"/>
      <c r="C25" s="3"/>
      <c r="D25" s="6" t="s">
        <v>61</v>
      </c>
      <c r="E25" s="6" t="s">
        <v>58</v>
      </c>
      <c r="F25" s="20"/>
      <c r="G25" s="28" t="str">
        <f t="shared" si="1"/>
        <v/>
      </c>
    </row>
    <row r="26" spans="1:7" ht="37.5">
      <c r="A26" s="19">
        <v>16</v>
      </c>
      <c r="B26" s="19"/>
      <c r="C26" s="3"/>
      <c r="D26" s="6" t="s">
        <v>62</v>
      </c>
      <c r="E26" s="6" t="s">
        <v>58</v>
      </c>
      <c r="F26" s="20"/>
      <c r="G26" s="28" t="str">
        <f t="shared" si="1"/>
        <v/>
      </c>
    </row>
    <row r="27" spans="1:7" ht="37.5">
      <c r="A27" s="19">
        <v>17</v>
      </c>
      <c r="B27" s="19"/>
      <c r="C27" s="3"/>
      <c r="D27" s="6" t="s">
        <v>63</v>
      </c>
      <c r="E27" s="6" t="s">
        <v>58</v>
      </c>
      <c r="F27" s="20"/>
      <c r="G27" s="28" t="str">
        <f t="shared" si="1"/>
        <v/>
      </c>
    </row>
    <row r="28" spans="1:7" ht="37.5">
      <c r="A28" s="19">
        <v>18</v>
      </c>
      <c r="B28" s="19"/>
      <c r="C28" s="3"/>
      <c r="D28" s="6" t="s">
        <v>64</v>
      </c>
      <c r="E28" s="6" t="s">
        <v>58</v>
      </c>
      <c r="F28" s="20"/>
      <c r="G28" s="28" t="str">
        <f t="shared" si="1"/>
        <v/>
      </c>
    </row>
    <row r="29" spans="1:7" ht="37.5">
      <c r="A29" s="19">
        <v>19</v>
      </c>
      <c r="B29" s="19"/>
      <c r="C29" s="3"/>
      <c r="D29" s="6" t="s">
        <v>65</v>
      </c>
      <c r="E29" s="6" t="s">
        <v>58</v>
      </c>
      <c r="F29" s="20"/>
      <c r="G29" s="28" t="str">
        <f t="shared" si="1"/>
        <v/>
      </c>
    </row>
    <row r="30" spans="1:7" ht="37.5">
      <c r="A30" s="19">
        <v>20</v>
      </c>
      <c r="B30" s="19"/>
      <c r="C30" s="3" t="s">
        <v>66</v>
      </c>
      <c r="D30" s="6" t="s">
        <v>67</v>
      </c>
      <c r="E30" s="6" t="s">
        <v>68</v>
      </c>
      <c r="F30" s="20"/>
      <c r="G30" s="28" t="str">
        <f t="shared" si="1"/>
        <v/>
      </c>
    </row>
    <row r="31" spans="1:7">
      <c r="A31" s="19">
        <v>21</v>
      </c>
      <c r="B31" s="19"/>
      <c r="C31" s="3" t="s">
        <v>69</v>
      </c>
      <c r="D31" s="6" t="s">
        <v>70</v>
      </c>
      <c r="E31" s="6" t="s">
        <v>71</v>
      </c>
      <c r="F31" s="20"/>
      <c r="G31" s="28" t="str">
        <f t="shared" si="1"/>
        <v/>
      </c>
    </row>
    <row r="32" spans="1:7">
      <c r="A32" s="19">
        <v>22</v>
      </c>
      <c r="B32" s="19"/>
      <c r="C32" s="3" t="s">
        <v>72</v>
      </c>
      <c r="D32" s="6" t="s">
        <v>71</v>
      </c>
      <c r="E32" s="6" t="s">
        <v>73</v>
      </c>
      <c r="F32" s="20"/>
      <c r="G32" s="28" t="str">
        <f t="shared" si="1"/>
        <v/>
      </c>
    </row>
    <row r="33" spans="1:7" ht="37.5">
      <c r="A33" s="19">
        <v>23</v>
      </c>
      <c r="B33" s="19"/>
      <c r="C33" s="3" t="s">
        <v>74</v>
      </c>
      <c r="D33" s="6" t="s">
        <v>70</v>
      </c>
      <c r="E33" s="6" t="s">
        <v>75</v>
      </c>
      <c r="F33" s="20"/>
      <c r="G33" s="28" t="str">
        <f t="shared" si="1"/>
        <v/>
      </c>
    </row>
    <row r="34" spans="1:7">
      <c r="A34" s="19">
        <v>24</v>
      </c>
      <c r="B34" s="19"/>
      <c r="C34" s="3"/>
      <c r="D34" s="6" t="s">
        <v>41</v>
      </c>
      <c r="E34" s="6" t="s">
        <v>76</v>
      </c>
      <c r="F34" s="20"/>
      <c r="G34" s="28" t="str">
        <f t="shared" si="1"/>
        <v/>
      </c>
    </row>
    <row r="35" spans="1:7">
      <c r="A35" s="19">
        <v>25</v>
      </c>
      <c r="B35" s="19"/>
      <c r="C35" s="3"/>
      <c r="D35" s="6" t="s">
        <v>77</v>
      </c>
      <c r="E35" s="6" t="s">
        <v>78</v>
      </c>
      <c r="F35" s="20"/>
      <c r="G35" s="28" t="str">
        <f t="shared" si="1"/>
        <v/>
      </c>
    </row>
    <row r="36" spans="1:7">
      <c r="A36" s="19">
        <v>26</v>
      </c>
      <c r="B36" s="19"/>
      <c r="C36" s="3"/>
      <c r="D36" s="6" t="s">
        <v>79</v>
      </c>
      <c r="E36" s="6" t="s">
        <v>80</v>
      </c>
      <c r="F36" s="20"/>
      <c r="G36" s="28" t="str">
        <f t="shared" si="1"/>
        <v/>
      </c>
    </row>
    <row r="37" spans="1:7">
      <c r="A37" s="19">
        <v>27</v>
      </c>
      <c r="B37" s="19"/>
      <c r="C37" s="3"/>
      <c r="D37" s="6" t="s">
        <v>81</v>
      </c>
      <c r="E37" s="6" t="s">
        <v>82</v>
      </c>
      <c r="F37" s="20"/>
      <c r="G37" s="28" t="str">
        <f t="shared" si="1"/>
        <v/>
      </c>
    </row>
    <row r="38" spans="1:7">
      <c r="A38" s="19">
        <v>28</v>
      </c>
      <c r="B38" s="19"/>
      <c r="C38" s="3"/>
      <c r="D38" s="6" t="s">
        <v>83</v>
      </c>
      <c r="E38" s="6" t="s">
        <v>84</v>
      </c>
      <c r="F38" s="20"/>
      <c r="G38" s="28" t="str">
        <f t="shared" si="1"/>
        <v/>
      </c>
    </row>
    <row r="39" spans="1:7">
      <c r="A39" s="19">
        <v>29</v>
      </c>
      <c r="B39" s="19"/>
      <c r="C39" s="3"/>
      <c r="D39" s="6" t="s">
        <v>85</v>
      </c>
      <c r="E39" s="6" t="s">
        <v>86</v>
      </c>
      <c r="F39" s="20"/>
      <c r="G39" s="28" t="str">
        <f t="shared" si="1"/>
        <v/>
      </c>
    </row>
    <row r="40" spans="1:7">
      <c r="A40" s="19">
        <v>30</v>
      </c>
      <c r="B40" s="19"/>
      <c r="C40" s="3"/>
      <c r="D40" s="6" t="s">
        <v>87</v>
      </c>
      <c r="E40" s="6" t="s">
        <v>88</v>
      </c>
      <c r="F40" s="20"/>
      <c r="G40" s="28" t="str">
        <f t="shared" si="1"/>
        <v/>
      </c>
    </row>
    <row r="41" spans="1:7" ht="37.5">
      <c r="A41" s="19">
        <v>31</v>
      </c>
      <c r="B41" s="19"/>
      <c r="C41" s="3"/>
      <c r="D41" s="6" t="s">
        <v>89</v>
      </c>
      <c r="E41" s="6" t="s">
        <v>75</v>
      </c>
      <c r="F41" s="20"/>
      <c r="G41" s="28" t="str">
        <f t="shared" si="1"/>
        <v/>
      </c>
    </row>
    <row r="42" spans="1:7" ht="37.5">
      <c r="A42" s="19">
        <v>32</v>
      </c>
      <c r="B42" s="19"/>
      <c r="C42" s="3"/>
      <c r="D42" s="6" t="s">
        <v>59</v>
      </c>
      <c r="E42" s="6" t="s">
        <v>75</v>
      </c>
      <c r="F42" s="20"/>
      <c r="G42" s="28" t="str">
        <f t="shared" si="1"/>
        <v/>
      </c>
    </row>
    <row r="43" spans="1:7" ht="37.5">
      <c r="A43" s="19">
        <v>33</v>
      </c>
      <c r="B43" s="19"/>
      <c r="C43" s="3"/>
      <c r="D43" s="6" t="s">
        <v>90</v>
      </c>
      <c r="E43" s="6" t="s">
        <v>75</v>
      </c>
      <c r="F43" s="20"/>
      <c r="G43" s="28"/>
    </row>
    <row r="44" spans="1:7" ht="37.5">
      <c r="A44" s="19">
        <v>34</v>
      </c>
      <c r="B44" s="19"/>
      <c r="C44" s="3"/>
      <c r="D44" s="6" t="s">
        <v>64</v>
      </c>
      <c r="E44" s="6" t="s">
        <v>75</v>
      </c>
      <c r="F44" s="20"/>
      <c r="G44" s="28" t="str">
        <f t="shared" si="1"/>
        <v/>
      </c>
    </row>
    <row r="45" spans="1:7" ht="37.5">
      <c r="A45" s="19">
        <v>35</v>
      </c>
      <c r="B45" s="19"/>
      <c r="C45" s="3"/>
      <c r="D45" s="6" t="s">
        <v>65</v>
      </c>
      <c r="E45" s="6" t="s">
        <v>75</v>
      </c>
      <c r="F45" s="20"/>
      <c r="G45" s="28" t="str">
        <f t="shared" si="1"/>
        <v/>
      </c>
    </row>
    <row r="46" spans="1:7" ht="37.5">
      <c r="A46" s="19">
        <v>36</v>
      </c>
      <c r="B46" s="19"/>
      <c r="C46" s="3"/>
      <c r="D46" s="6" t="s">
        <v>63</v>
      </c>
      <c r="E46" s="6" t="s">
        <v>75</v>
      </c>
      <c r="F46" s="20"/>
      <c r="G46" s="28" t="str">
        <f t="shared" si="1"/>
        <v/>
      </c>
    </row>
    <row r="47" spans="1:7" ht="37.5">
      <c r="A47" s="19">
        <v>37</v>
      </c>
      <c r="B47" s="19"/>
      <c r="C47" s="3"/>
      <c r="D47" s="6" t="s">
        <v>91</v>
      </c>
      <c r="E47" s="6" t="s">
        <v>75</v>
      </c>
      <c r="F47" s="20"/>
      <c r="G47" s="28" t="str">
        <f t="shared" si="1"/>
        <v/>
      </c>
    </row>
    <row r="48" spans="1:7" ht="37.5">
      <c r="A48" s="19">
        <v>38</v>
      </c>
      <c r="B48" s="19"/>
      <c r="C48" s="3" t="s">
        <v>92</v>
      </c>
      <c r="D48" s="6" t="s">
        <v>67</v>
      </c>
      <c r="E48" s="6" t="s">
        <v>93</v>
      </c>
      <c r="F48" s="20"/>
      <c r="G48" s="28"/>
    </row>
    <row r="49" spans="1:7" ht="37.5">
      <c r="A49" s="19">
        <v>39</v>
      </c>
      <c r="B49" s="19"/>
      <c r="C49" s="3" t="s">
        <v>94</v>
      </c>
      <c r="D49" s="6" t="s">
        <v>95</v>
      </c>
      <c r="E49" s="6" t="s">
        <v>96</v>
      </c>
      <c r="F49" s="20"/>
      <c r="G49" s="28" t="str">
        <f t="shared" si="1"/>
        <v/>
      </c>
    </row>
    <row r="50" spans="1:7" ht="37.5">
      <c r="A50" s="19">
        <v>40</v>
      </c>
      <c r="B50" s="19"/>
      <c r="C50" s="3"/>
      <c r="D50" s="6" t="s">
        <v>97</v>
      </c>
      <c r="E50" s="6" t="s">
        <v>96</v>
      </c>
      <c r="F50" s="20"/>
      <c r="G50" s="28" t="str">
        <f t="shared" si="1"/>
        <v/>
      </c>
    </row>
    <row r="51" spans="1:7" ht="37.5">
      <c r="A51" s="19">
        <v>41</v>
      </c>
      <c r="B51" s="19"/>
      <c r="C51" s="3"/>
      <c r="D51" s="6" t="s">
        <v>98</v>
      </c>
      <c r="E51" s="6" t="s">
        <v>96</v>
      </c>
      <c r="F51" s="20"/>
      <c r="G51" s="28" t="str">
        <f t="shared" si="1"/>
        <v/>
      </c>
    </row>
    <row r="52" spans="1:7" ht="37.5">
      <c r="A52" s="19">
        <v>42</v>
      </c>
      <c r="B52" s="19"/>
      <c r="C52" s="3"/>
      <c r="D52" s="6" t="s">
        <v>99</v>
      </c>
      <c r="E52" s="6" t="s">
        <v>96</v>
      </c>
      <c r="F52" s="20"/>
      <c r="G52" s="28" t="str">
        <f t="shared" si="1"/>
        <v/>
      </c>
    </row>
    <row r="53" spans="1:7" ht="37.5">
      <c r="A53" s="19">
        <v>43</v>
      </c>
      <c r="B53" s="19"/>
      <c r="C53" s="3"/>
      <c r="D53" s="6" t="s">
        <v>100</v>
      </c>
      <c r="E53" s="6" t="s">
        <v>96</v>
      </c>
      <c r="F53" s="20"/>
      <c r="G53" s="28" t="str">
        <f t="shared" si="1"/>
        <v/>
      </c>
    </row>
    <row r="54" spans="1:7" ht="37.5">
      <c r="A54" s="19">
        <v>44</v>
      </c>
      <c r="B54" s="19"/>
      <c r="C54" s="3"/>
      <c r="D54" s="6" t="s">
        <v>101</v>
      </c>
      <c r="E54" s="6" t="s">
        <v>96</v>
      </c>
      <c r="F54" s="20"/>
      <c r="G54" s="28" t="str">
        <f t="shared" si="1"/>
        <v/>
      </c>
    </row>
    <row r="55" spans="1:7" ht="37.5">
      <c r="A55" s="19">
        <v>45</v>
      </c>
      <c r="B55" s="19"/>
      <c r="C55" s="3"/>
      <c r="D55" s="6" t="s">
        <v>102</v>
      </c>
      <c r="E55" s="6" t="s">
        <v>96</v>
      </c>
      <c r="F55" s="20"/>
      <c r="G55" s="28" t="str">
        <f t="shared" si="1"/>
        <v/>
      </c>
    </row>
    <row r="56" spans="1:7" ht="37.5">
      <c r="A56" s="19">
        <v>46</v>
      </c>
      <c r="B56" s="19"/>
      <c r="C56" s="3"/>
      <c r="D56" s="6" t="s">
        <v>103</v>
      </c>
      <c r="E56" s="6" t="s">
        <v>104</v>
      </c>
      <c r="F56" s="20"/>
      <c r="G56" s="28" t="str">
        <f t="shared" si="1"/>
        <v/>
      </c>
    </row>
    <row r="57" spans="1:7" ht="37.5">
      <c r="A57" s="19">
        <v>47</v>
      </c>
      <c r="B57" s="19"/>
      <c r="C57" s="3"/>
      <c r="D57" s="6" t="s">
        <v>105</v>
      </c>
      <c r="E57" s="6" t="s">
        <v>104</v>
      </c>
      <c r="F57" s="20"/>
      <c r="G57" s="28" t="str">
        <f t="shared" si="1"/>
        <v/>
      </c>
    </row>
    <row r="58" spans="1:7" ht="37.5">
      <c r="A58" s="19">
        <v>48</v>
      </c>
      <c r="B58" s="19"/>
      <c r="C58" s="3"/>
      <c r="D58" s="6" t="s">
        <v>106</v>
      </c>
      <c r="E58" s="6" t="s">
        <v>107</v>
      </c>
      <c r="F58" s="20"/>
      <c r="G58" s="28" t="str">
        <f t="shared" si="1"/>
        <v/>
      </c>
    </row>
    <row r="59" spans="1:7" ht="37.5">
      <c r="A59" s="19">
        <v>49</v>
      </c>
      <c r="B59" s="19"/>
      <c r="C59" s="3"/>
      <c r="D59" s="6" t="s">
        <v>108</v>
      </c>
      <c r="E59" s="6" t="s">
        <v>109</v>
      </c>
      <c r="F59" s="20"/>
      <c r="G59" s="28" t="str">
        <f t="shared" si="1"/>
        <v/>
      </c>
    </row>
    <row r="60" spans="1:7" ht="37.5">
      <c r="A60" s="19">
        <v>50</v>
      </c>
      <c r="B60" s="19"/>
      <c r="C60" s="3"/>
      <c r="D60" s="6" t="s">
        <v>110</v>
      </c>
      <c r="E60" s="6" t="s">
        <v>107</v>
      </c>
      <c r="F60" s="20"/>
      <c r="G60" s="28" t="str">
        <f t="shared" si="1"/>
        <v/>
      </c>
    </row>
    <row r="61" spans="1:7" ht="37.5">
      <c r="A61" s="19">
        <v>51</v>
      </c>
      <c r="B61" s="19"/>
      <c r="C61" s="3"/>
      <c r="D61" s="6" t="s">
        <v>111</v>
      </c>
      <c r="E61" s="6" t="s">
        <v>112</v>
      </c>
      <c r="F61" s="20"/>
      <c r="G61" s="28" t="str">
        <f t="shared" si="1"/>
        <v/>
      </c>
    </row>
    <row r="62" spans="1:7" ht="37.5">
      <c r="A62" s="19">
        <v>52</v>
      </c>
      <c r="B62" s="19"/>
      <c r="C62" s="3"/>
      <c r="D62" s="6" t="s">
        <v>113</v>
      </c>
      <c r="E62" s="6" t="s">
        <v>114</v>
      </c>
      <c r="F62" s="20"/>
      <c r="G62" s="28" t="str">
        <f t="shared" si="1"/>
        <v/>
      </c>
    </row>
    <row r="63" spans="1:7" ht="37.5">
      <c r="A63" s="19">
        <v>53</v>
      </c>
      <c r="B63" s="19"/>
      <c r="C63" s="3" t="s">
        <v>115</v>
      </c>
      <c r="D63" s="6" t="s">
        <v>116</v>
      </c>
      <c r="E63" s="6" t="s">
        <v>117</v>
      </c>
      <c r="F63" s="20"/>
      <c r="G63" s="28"/>
    </row>
    <row r="64" spans="1:7" ht="37.5">
      <c r="A64" s="19">
        <v>54</v>
      </c>
      <c r="B64" s="19"/>
      <c r="C64" s="3" t="s">
        <v>118</v>
      </c>
      <c r="D64" s="6" t="s">
        <v>119</v>
      </c>
      <c r="E64" s="6" t="s">
        <v>120</v>
      </c>
      <c r="F64" s="20"/>
      <c r="G64" s="28" t="str">
        <f t="shared" si="1"/>
        <v/>
      </c>
    </row>
    <row r="65" spans="1:7" ht="37.5">
      <c r="A65" s="19">
        <v>55</v>
      </c>
      <c r="B65" s="19"/>
      <c r="C65" s="3" t="s">
        <v>121</v>
      </c>
      <c r="D65" s="6" t="s">
        <v>122</v>
      </c>
      <c r="E65" s="6" t="s">
        <v>123</v>
      </c>
      <c r="F65" s="20"/>
      <c r="G65" s="28" t="str">
        <f t="shared" si="1"/>
        <v/>
      </c>
    </row>
    <row r="66" spans="1:7">
      <c r="D66" s="13"/>
    </row>
    <row r="67" spans="1:7">
      <c r="D67" s="13"/>
    </row>
    <row r="68" spans="1:7">
      <c r="D68" s="13"/>
    </row>
    <row r="69" spans="1:7">
      <c r="D69" s="13"/>
    </row>
    <row r="70" spans="1:7">
      <c r="D70" s="13"/>
    </row>
    <row r="71" spans="1:7">
      <c r="D71" s="13"/>
    </row>
    <row r="72" spans="1:7">
      <c r="D72" s="13"/>
    </row>
    <row r="73" spans="1:7">
      <c r="D73" s="13"/>
    </row>
    <row r="74" spans="1:7">
      <c r="D74" s="13"/>
    </row>
    <row r="75" spans="1:7">
      <c r="D75" s="13"/>
    </row>
    <row r="76" spans="1:7">
      <c r="D76" s="13"/>
    </row>
    <row r="77" spans="1:7">
      <c r="D77" s="13"/>
    </row>
    <row r="78" spans="1:7">
      <c r="D78" s="13"/>
    </row>
    <row r="79" spans="1:7">
      <c r="D79" s="13"/>
      <c r="E79" s="13"/>
    </row>
    <row r="80" spans="1:7">
      <c r="D80" s="13"/>
    </row>
  </sheetData>
  <mergeCells count="2">
    <mergeCell ref="A1:B1"/>
    <mergeCell ref="A2:B2"/>
  </mergeCells>
  <phoneticPr fontId="2"/>
  <conditionalFormatting sqref="B11:B65">
    <cfRule type="expression" dxfId="5" priority="1">
      <formula>B11="attention"</formula>
    </cfRule>
    <cfRule type="expression" dxfId="4" priority="2">
      <formula>B11="NG"</formula>
    </cfRule>
    <cfRule type="expression" dxfId="3" priority="3">
      <formula>B11="OK"</formula>
    </cfRule>
  </conditionalFormatting>
  <dataValidations count="2">
    <dataValidation type="list" allowBlank="1" showInputMessage="1" showErrorMessage="1" sqref="B11:B65" xr:uid="{00000000-0002-0000-0200-000000000000}">
      <formula1>" ,OK,NG,attention"</formula1>
    </dataValidation>
    <dataValidation type="list" allowBlank="1" showInputMessage="1" sqref="F11:F65" xr:uid="{00000000-0002-0000-0200-000001000000}">
      <formula1>"問題なく動作"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カレンダーから入力_Click">
                <anchor moveWithCells="1">
                  <from>
                    <xdr:col>4</xdr:col>
                    <xdr:colOff>1066800</xdr:colOff>
                    <xdr:row>0</xdr:row>
                    <xdr:rowOff>0</xdr:rowOff>
                  </from>
                  <to>
                    <xdr:col>4</xdr:col>
                    <xdr:colOff>2781300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0"/>
  <sheetViews>
    <sheetView topLeftCell="A5" workbookViewId="0">
      <selection activeCell="C10" sqref="C10"/>
    </sheetView>
  </sheetViews>
  <sheetFormatPr defaultRowHeight="18.75"/>
  <cols>
    <col min="1" max="1" width="3.875" style="24" bestFit="1" customWidth="1"/>
    <col min="2" max="2" width="9.125" bestFit="1" customWidth="1"/>
    <col min="3" max="3" width="31.875" customWidth="1"/>
    <col min="4" max="4" width="51.25" customWidth="1"/>
    <col min="5" max="5" width="56.625" customWidth="1"/>
    <col min="6" max="6" width="51" customWidth="1"/>
    <col min="7" max="7" width="3" bestFit="1" customWidth="1"/>
  </cols>
  <sheetData>
    <row r="1" spans="1:7">
      <c r="A1" s="48" t="s">
        <v>5</v>
      </c>
      <c r="B1" s="48"/>
      <c r="C1" s="3" t="s">
        <v>15</v>
      </c>
      <c r="D1" s="3" t="s">
        <v>16</v>
      </c>
      <c r="E1" s="16"/>
    </row>
    <row r="2" spans="1:7">
      <c r="A2" s="48"/>
      <c r="B2" s="48"/>
      <c r="C2" s="3"/>
      <c r="D2" s="3" t="s">
        <v>17</v>
      </c>
      <c r="E2" s="15"/>
    </row>
    <row r="3" spans="1:7">
      <c r="E3" s="17"/>
    </row>
    <row r="4" spans="1:7">
      <c r="B4" s="3" t="s">
        <v>18</v>
      </c>
      <c r="C4" s="18" t="s">
        <v>19</v>
      </c>
      <c r="D4" s="3" t="s">
        <v>20</v>
      </c>
    </row>
    <row r="5" spans="1:7">
      <c r="B5" s="3" t="s">
        <v>21</v>
      </c>
      <c r="C5" s="18">
        <f>COUNTA($B$12:$B$20)</f>
        <v>0</v>
      </c>
      <c r="D5" s="30"/>
    </row>
    <row r="6" spans="1:7">
      <c r="B6" s="11" t="s">
        <v>22</v>
      </c>
      <c r="C6" s="3">
        <f>COUNTIF($B$12:$B$20,"OK")</f>
        <v>0</v>
      </c>
      <c r="D6" s="31" t="str">
        <f>IF(C6=0,"0",(C6/$C$5)*100)</f>
        <v>0</v>
      </c>
    </row>
    <row r="7" spans="1:7">
      <c r="B7" s="12" t="s">
        <v>23</v>
      </c>
      <c r="C7" s="3">
        <f>COUNTIF($B$12:$B$20,"NG")</f>
        <v>0</v>
      </c>
      <c r="D7" s="31" t="str">
        <f t="shared" ref="D7:D8" si="0">IF(C7=0,"0",(C7/$C$5)*100)</f>
        <v>0</v>
      </c>
    </row>
    <row r="8" spans="1:7">
      <c r="B8" s="14" t="s">
        <v>24</v>
      </c>
      <c r="C8" s="3">
        <f>COUNTIF($B$12:$B$20,"attention")</f>
        <v>0</v>
      </c>
      <c r="D8" s="31" t="str">
        <f t="shared" si="0"/>
        <v>0</v>
      </c>
    </row>
    <row r="11" spans="1:7">
      <c r="A11" s="22" t="s">
        <v>25</v>
      </c>
      <c r="B11" s="5" t="s">
        <v>26</v>
      </c>
      <c r="C11" s="4" t="s">
        <v>27</v>
      </c>
      <c r="D11" s="4" t="s">
        <v>28</v>
      </c>
      <c r="E11" s="5" t="s">
        <v>29</v>
      </c>
      <c r="F11" s="5" t="s">
        <v>30</v>
      </c>
      <c r="G11" s="5" t="s">
        <v>31</v>
      </c>
    </row>
    <row r="12" spans="1:7" ht="56.25">
      <c r="A12" s="19">
        <v>1</v>
      </c>
      <c r="B12" s="19"/>
      <c r="C12" s="1" t="s">
        <v>124</v>
      </c>
      <c r="D12" s="2" t="s">
        <v>125</v>
      </c>
      <c r="E12" s="2" t="s">
        <v>126</v>
      </c>
      <c r="F12" s="20"/>
      <c r="G12" s="28" t="str">
        <f>IF(OR(F12="問題なく動作",F12=""),"","!!")</f>
        <v/>
      </c>
    </row>
    <row r="13" spans="1:7" ht="75">
      <c r="A13" s="23">
        <v>2</v>
      </c>
      <c r="B13" s="19"/>
      <c r="C13" s="3" t="s">
        <v>127</v>
      </c>
      <c r="D13" s="6" t="s">
        <v>128</v>
      </c>
      <c r="E13" s="6" t="s">
        <v>129</v>
      </c>
      <c r="F13" s="20"/>
      <c r="G13" s="28" t="str">
        <f t="shared" ref="G13:G20" si="1">IF(OR(F13="問題なく動作",F13=""),"","!!")</f>
        <v/>
      </c>
    </row>
    <row r="14" spans="1:7" ht="37.5">
      <c r="A14" s="19">
        <v>3</v>
      </c>
      <c r="B14" s="19"/>
      <c r="C14" s="3" t="s">
        <v>130</v>
      </c>
      <c r="D14" s="6" t="s">
        <v>131</v>
      </c>
      <c r="E14" s="6" t="s">
        <v>132</v>
      </c>
      <c r="F14" s="20"/>
      <c r="G14" s="28" t="str">
        <f t="shared" si="1"/>
        <v/>
      </c>
    </row>
    <row r="15" spans="1:7" ht="225">
      <c r="A15" s="23">
        <v>4</v>
      </c>
      <c r="B15" s="19"/>
      <c r="C15" s="3" t="s">
        <v>133</v>
      </c>
      <c r="D15" s="6" t="s">
        <v>134</v>
      </c>
      <c r="E15" s="3" t="s">
        <v>135</v>
      </c>
      <c r="F15" s="20"/>
      <c r="G15" s="28" t="str">
        <f t="shared" si="1"/>
        <v/>
      </c>
    </row>
    <row r="16" spans="1:7" ht="37.5">
      <c r="A16" s="19">
        <v>5</v>
      </c>
      <c r="B16" s="19"/>
      <c r="C16" s="3" t="s">
        <v>136</v>
      </c>
      <c r="D16" s="6" t="s">
        <v>137</v>
      </c>
      <c r="E16" s="7" t="s">
        <v>138</v>
      </c>
      <c r="F16" s="20"/>
      <c r="G16" s="28" t="str">
        <f t="shared" si="1"/>
        <v/>
      </c>
    </row>
    <row r="17" spans="1:7" ht="56.25">
      <c r="A17" s="23">
        <v>6</v>
      </c>
      <c r="B17" s="19"/>
      <c r="C17" s="3" t="s">
        <v>139</v>
      </c>
      <c r="D17" s="6" t="s">
        <v>140</v>
      </c>
      <c r="E17" s="6" t="s">
        <v>141</v>
      </c>
      <c r="F17" s="20"/>
      <c r="G17" s="28" t="str">
        <f t="shared" si="1"/>
        <v/>
      </c>
    </row>
    <row r="18" spans="1:7" ht="56.25">
      <c r="A18" s="19">
        <v>7</v>
      </c>
      <c r="B18" s="19"/>
      <c r="C18" s="3" t="s">
        <v>142</v>
      </c>
      <c r="D18" s="6" t="s">
        <v>143</v>
      </c>
      <c r="E18" s="6" t="s">
        <v>144</v>
      </c>
      <c r="F18" s="20"/>
      <c r="G18" s="28" t="str">
        <f t="shared" si="1"/>
        <v/>
      </c>
    </row>
    <row r="19" spans="1:7" ht="56.25">
      <c r="A19" s="23">
        <v>8</v>
      </c>
      <c r="B19" s="19"/>
      <c r="C19" s="3" t="s">
        <v>145</v>
      </c>
      <c r="D19" s="6" t="s">
        <v>140</v>
      </c>
      <c r="E19" s="6" t="s">
        <v>141</v>
      </c>
      <c r="F19" s="20"/>
      <c r="G19" s="28" t="str">
        <f t="shared" si="1"/>
        <v/>
      </c>
    </row>
    <row r="20" spans="1:7" ht="56.25">
      <c r="A20" s="19">
        <v>9</v>
      </c>
      <c r="B20" s="19"/>
      <c r="C20" s="3" t="s">
        <v>146</v>
      </c>
      <c r="D20" s="6" t="s">
        <v>143</v>
      </c>
      <c r="E20" s="6" t="s">
        <v>144</v>
      </c>
      <c r="F20" s="20"/>
      <c r="G20" s="28" t="str">
        <f t="shared" si="1"/>
        <v/>
      </c>
    </row>
  </sheetData>
  <mergeCells count="2">
    <mergeCell ref="A1:B1"/>
    <mergeCell ref="A2:B2"/>
  </mergeCells>
  <phoneticPr fontId="2"/>
  <conditionalFormatting sqref="B12:B20">
    <cfRule type="expression" dxfId="2" priority="1">
      <formula>B12="attention"</formula>
    </cfRule>
    <cfRule type="expression" dxfId="1" priority="2">
      <formula>B12="NG"</formula>
    </cfRule>
    <cfRule type="expression" dxfId="0" priority="3">
      <formula>B12="OK"</formula>
    </cfRule>
  </conditionalFormatting>
  <dataValidations count="2">
    <dataValidation type="list" allowBlank="1" showInputMessage="1" showErrorMessage="1" sqref="B12:B20" xr:uid="{00000000-0002-0000-0300-000000000000}">
      <formula1>"OK,NG,attention"</formula1>
    </dataValidation>
    <dataValidation type="list" allowBlank="1" showInputMessage="1" sqref="F12:F20" xr:uid="{00000000-0002-0000-0300-000001000000}">
      <formula1>"問題なく動作"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カレンダーから入力_Click">
                <anchor moveWithCells="1">
                  <from>
                    <xdr:col>4</xdr:col>
                    <xdr:colOff>1066800</xdr:colOff>
                    <xdr:row>0</xdr:row>
                    <xdr:rowOff>0</xdr:rowOff>
                  </from>
                  <to>
                    <xdr:col>4</xdr:col>
                    <xdr:colOff>2781300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681fb3-381e-439b-bbf6-e84d4c1b2eb6">
      <Terms xmlns="http://schemas.microsoft.com/office/infopath/2007/PartnerControls"/>
    </lcf76f155ced4ddcb4097134ff3c332f>
    <_Flow_SignoffStatus xmlns="29681fb3-381e-439b-bbf6-e84d4c1b2eb6" xsi:nil="true"/>
    <TaxCatchAll xmlns="a8b0aaf8-3b6a-4ed7-88a8-65cbf8cfe3c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96B95ED07193B64F809BAF4507D2F537" ma:contentTypeVersion="17" ma:contentTypeDescription="新しいドキュメントを作成します。" ma:contentTypeScope="" ma:versionID="059e2ef8e44c3bb7ef43eb6be2b24bde">
  <xsd:schema xmlns:xsd="http://www.w3.org/2001/XMLSchema" xmlns:xs="http://www.w3.org/2001/XMLSchema" xmlns:p="http://schemas.microsoft.com/office/2006/metadata/properties" xmlns:ns2="29681fb3-381e-439b-bbf6-e84d4c1b2eb6" xmlns:ns3="a8b0aaf8-3b6a-4ed7-88a8-65cbf8cfe3cb" targetNamespace="http://schemas.microsoft.com/office/2006/metadata/properties" ma:root="true" ma:fieldsID="255e603955d366dc6ea3e687699578fc" ns2:_="" ns3:_="">
    <xsd:import namespace="29681fb3-381e-439b-bbf6-e84d4c1b2eb6"/>
    <xsd:import namespace="a8b0aaf8-3b6a-4ed7-88a8-65cbf8cfe3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681fb3-381e-439b-bbf6-e84d4c1b2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_Flow_SignoffStatus" ma:index="21" nillable="true" ma:displayName="承認の状態" ma:internalName="_x627f__x8a8d__x306e__x72b6__x614b_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画像タグ" ma:readOnly="false" ma:fieldId="{5cf76f15-5ced-4ddc-b409-7134ff3c332f}" ma:taxonomyMulti="true" ma:sspId="b3cdd29f-70b4-44e7-8e88-6bb02c294d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b0aaf8-3b6a-4ed7-88a8-65cbf8cfe3cb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8f204639-254f-4e06-95b4-68d48c55fb55}" ma:internalName="TaxCatchAll" ma:showField="CatchAllData" ma:web="a8b0aaf8-3b6a-4ed7-88a8-65cbf8cfe3c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9E60BF-3317-4C96-A083-0200C73234D4}"/>
</file>

<file path=customXml/itemProps2.xml><?xml version="1.0" encoding="utf-8"?>
<ds:datastoreItem xmlns:ds="http://schemas.openxmlformats.org/officeDocument/2006/customXml" ds:itemID="{3CA499B8-42B2-40A0-A9ED-0707123E71FD}"/>
</file>

<file path=customXml/itemProps3.xml><?xml version="1.0" encoding="utf-8"?>
<ds:datastoreItem xmlns:ds="http://schemas.openxmlformats.org/officeDocument/2006/customXml" ds:itemID="{56570C0A-D162-4304-8C90-1CAC207ACAC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株式会社メイテック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New-Kensyu</dc:creator>
  <cp:keywords/>
  <dc:description/>
  <cp:lastModifiedBy>Kobayashi Tsubasa</cp:lastModifiedBy>
  <cp:revision/>
  <dcterms:created xsi:type="dcterms:W3CDTF">2022-06-20T04:51:49Z</dcterms:created>
  <dcterms:modified xsi:type="dcterms:W3CDTF">2022-06-23T07:32:00Z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0x01010096B95ED07193B64F809BAF4507D2F537</vt:lpwstr>
  </property>
  <property fmtid="{D5CDD505-2E9C-101B-9397-08002B2CF9AE}" pid="3" name="MediaServiceImageTags">
    <vt:lpwstr/>
  </property>
</Properties>
</file>